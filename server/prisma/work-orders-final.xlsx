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CA35526-E439-432E-90DE-D85E680B3300}" xr6:coauthVersionLast="47" xr6:coauthVersionMax="47" xr10:uidLastSave="{00000000-0000-0000-0000-000000000000}"/>
  <bookViews>
    <workbookView xWindow="-108" yWindow="-108" windowWidth="23256" windowHeight="12456" xr2:uid="{160F6CFF-388D-4CB9-8996-7F1CAFAEA813}"/>
  </bookViews>
  <sheets>
    <sheet name="FINAL LIST TO UPLOAD IN ERP" sheetId="1" r:id="rId1"/>
  </sheets>
  <definedNames>
    <definedName name="\0">#REF!</definedName>
    <definedName name="\a">#N/A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w">#REF!</definedName>
    <definedName name="\Y">#REF!</definedName>
    <definedName name="___INDEX_SHEET___ASAP_Utilities">#REF!</definedName>
    <definedName name="___spj1">#N/A</definedName>
    <definedName name="___xlnm.Print_Titles_12">#REF!</definedName>
    <definedName name="__ACK1">#REF!</definedName>
    <definedName name="__add1">#REF!</definedName>
    <definedName name="__add2">#REF!</definedName>
    <definedName name="__CF1">#REF!</definedName>
    <definedName name="__P1">#REF!</definedName>
    <definedName name="__PG1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spj1">#N/A</definedName>
    <definedName name="__TAX1">#REF!</definedName>
    <definedName name="__xlnm.Print_Titles_12">#REF!</definedName>
    <definedName name="_1">#REF!</definedName>
    <definedName name="_1Excel_BuiltIn_Print_Area_4_1">#REF!</definedName>
    <definedName name="_2">#REF!</definedName>
    <definedName name="_2Excel_BuiltIn_Print_Area_4_2">#REF!</definedName>
    <definedName name="_3Excel_BuiltIn_Print_Area_4_3">#REF!</definedName>
    <definedName name="_4Excel_BuiltIn_Print_Area_4_4">#REF!</definedName>
    <definedName name="_5Excel_BuiltIn_Print_Area_4_5">#REF!</definedName>
    <definedName name="_ACK1">#REF!</definedName>
    <definedName name="_add1">#REF!</definedName>
    <definedName name="_add2">#REF!</definedName>
    <definedName name="_AQ1">{"'COPY'!$H$26"}</definedName>
    <definedName name="_CF1">#REF!</definedName>
    <definedName name="_Fill" hidden="1">#REF!</definedName>
    <definedName name="_xlnm._FilterDatabase" localSheetId="0" hidden="1">'FINAL LIST TO UPLOAD IN ERP'!$A$2:$V$184</definedName>
    <definedName name="_ftn1_43">NA()</definedName>
    <definedName name="_ftn2_43">NA()</definedName>
    <definedName name="_ftn3_43">NA()</definedName>
    <definedName name="_ftn4_43">NA()</definedName>
    <definedName name="_ftn5_43">NA()</definedName>
    <definedName name="_ftnref5_43">NA()</definedName>
    <definedName name="_Key1">#REF!</definedName>
    <definedName name="_Key2">#REF!</definedName>
    <definedName name="_Order1" hidden="1">255</definedName>
    <definedName name="_Order2" hidden="1">255</definedName>
    <definedName name="_P1">#REF!</definedName>
    <definedName name="_PG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Regression_Out">#REF!</definedName>
    <definedName name="_Regression_X">#REF!</definedName>
    <definedName name="_Regression_Y">#REF!</definedName>
    <definedName name="_Sort">#REF!</definedName>
    <definedName name="_spj1">#N/A</definedName>
    <definedName name="_TAX1">#REF!</definedName>
    <definedName name="a">"GEA ENERGY SYSTEM (INDIA) LIMITED"</definedName>
    <definedName name="aa">#REF!</definedName>
    <definedName name="aab">#REF!</definedName>
    <definedName name="AB">{"'COPY'!$H$26"}</definedName>
    <definedName name="ABC">#REF!</definedName>
    <definedName name="ACCCurrency">#REF!</definedName>
    <definedName name="ACCDesignator">#REF!</definedName>
    <definedName name="Accdetail">#REF!</definedName>
    <definedName name="ACCOUNT">#REF!</definedName>
    <definedName name="ACCType">#REF!</definedName>
    <definedName name="ACCYear">#REF!</definedName>
    <definedName name="ACK">#REF!</definedName>
    <definedName name="ActMth">#REF!</definedName>
    <definedName name="ActYtd">#REF!</definedName>
    <definedName name="add">#REF!</definedName>
    <definedName name="ADDRESS">#REF!</definedName>
    <definedName name="adfsgdafhgad">#REF!</definedName>
    <definedName name="ADMINHC">#REF!</definedName>
    <definedName name="ADMINNEW">#REF!</definedName>
    <definedName name="ADMINTOT">#REF!</definedName>
    <definedName name="ADMOH">#REF!</definedName>
    <definedName name="advancetax">#REF!</definedName>
    <definedName name="AI">#REF!</definedName>
    <definedName name="ail">#REF!</definedName>
    <definedName name="AKTDM">#REF!</definedName>
    <definedName name="AKTTDM">#REF!</definedName>
    <definedName name="amit">#N/A</definedName>
    <definedName name="ANH1DM">#REF!</definedName>
    <definedName name="annexure_1">#REF!</definedName>
    <definedName name="Annexure2">#REF!</definedName>
    <definedName name="APR">#REF!</definedName>
    <definedName name="APRFA">#REF!</definedName>
    <definedName name="APRIL">#REF!</definedName>
    <definedName name="AQUA">{"'COPY'!$H$26"}</definedName>
    <definedName name="AQUA110">{"'COPY'!$H$26"}</definedName>
    <definedName name="AQUA111">{"'COPY'!$H$26"}</definedName>
    <definedName name="AQUASTAR">{"'COPY'!$H$26"}</definedName>
    <definedName name="AQUASTAR1">{"'COPY'!$H$26"}</definedName>
    <definedName name="Area">#REF!</definedName>
    <definedName name="AS">#REF!</definedName>
    <definedName name="asd">#REF!</definedName>
    <definedName name="asdasdas">#REF!</definedName>
    <definedName name="ASSESSEE">#REF!</definedName>
    <definedName name="assets_hgb_act">#REF!</definedName>
    <definedName name="asSF">#REF!</definedName>
    <definedName name="ATIVDM">#REF!</definedName>
    <definedName name="AUDITOR">#REF!</definedName>
    <definedName name="AUG">#REF!</definedName>
    <definedName name="AUGFA">#REF!</definedName>
    <definedName name="AUGUST">#REF!</definedName>
    <definedName name="AUST">#REF!</definedName>
    <definedName name="AUSTRALIA">#REF!</definedName>
    <definedName name="AUSTRIA">#REF!</definedName>
    <definedName name="AUTOADMIN">#REF!</definedName>
    <definedName name="AUTOCNS">#REF!</definedName>
    <definedName name="AUTOCON">#REF!</definedName>
    <definedName name="AUTOEDU">#REF!</definedName>
    <definedName name="AUTOFIN">#REF!</definedName>
    <definedName name="AUTOIT">#REF!</definedName>
    <definedName name="AUTOMKT">#REF!</definedName>
    <definedName name="AUTOPER">#REF!</definedName>
    <definedName name="AUTOSAL">#REF!</definedName>
    <definedName name="AUTOSSP">#REF!</definedName>
    <definedName name="AUTOTCS">#REF!</definedName>
    <definedName name="ay">#REF!</definedName>
    <definedName name="B">#REF!</definedName>
    <definedName name="b21.">#REF!</definedName>
    <definedName name="BaseCaseFYF2005">#REF!</definedName>
    <definedName name="BaseCaseFYFActual2006">#REF!</definedName>
    <definedName name="BaseCaseFYFPlan2006">#REF!</definedName>
    <definedName name="BaseCaseFYFPlan2007">#REF!</definedName>
    <definedName name="BCK">#REF!</definedName>
    <definedName name="Beg_Bal">#REF!</definedName>
    <definedName name="BEGIN">#REF!</definedName>
    <definedName name="board">"RKEC Projects Pvt Ltd"</definedName>
    <definedName name="BONUS">#REF!</definedName>
    <definedName name="bs">#REF!</definedName>
    <definedName name="BS.AccrIntNotDue">#REF!</definedName>
    <definedName name="BS.AccrIntonLeasedAsset">#REF!</definedName>
    <definedName name="BS.AccumultedLosses">#REF!</definedName>
    <definedName name="BS.AdvRecoverable">#REF!</definedName>
    <definedName name="BS.Authorised">#REF!</definedName>
    <definedName name="BS.BalWithRevAuth">#REF!</definedName>
    <definedName name="BS.BankBal">#REF!</definedName>
    <definedName name="BS.CapRedempResr">#REF!</definedName>
    <definedName name="BS.CapResr">#REF!</definedName>
    <definedName name="BS.CapWrkProg">#REF!</definedName>
    <definedName name="BS.CashBalAmt">#REF!</definedName>
    <definedName name="BS.CashinHand">#REF!</definedName>
    <definedName name="BS.Debenture">#REF!</definedName>
    <definedName name="BS.Debentures">#REF!</definedName>
    <definedName name="BS.DebunRedResr">#REF!</definedName>
    <definedName name="BS.DeferredTax">#REF!</definedName>
    <definedName name="BS.DefTaxAsset">#REF!</definedName>
    <definedName name="BS.Deposits">#REF!</definedName>
    <definedName name="BS.Depreciation">#REF!</definedName>
    <definedName name="BS.ELSuperAnnGratProvision">#REF!</definedName>
    <definedName name="BS.EquityShares">#REF!</definedName>
    <definedName name="BS.FBTProvision">#REF!</definedName>
    <definedName name="BS.FinOrTradGood">#REF!</definedName>
    <definedName name="BS.ForeignCurrLoan">#REF!</definedName>
    <definedName name="BS.FrmBank">#REF!</definedName>
    <definedName name="BS.FrmOthrs">#REF!</definedName>
    <definedName name="BS.GenResr">#REF!</definedName>
    <definedName name="BS.GovOthSecUnQoted">#REF!</definedName>
    <definedName name="BS.GovtOthSecQuoted">#REF!</definedName>
    <definedName name="BS.GrossBlock">#REF!</definedName>
    <definedName name="BS.IssuedSubsPaidUp">#REF!</definedName>
    <definedName name="BS.ITProvision">#REF!</definedName>
    <definedName name="BS.LiabForLeasedAsset">#REF!</definedName>
    <definedName name="BS.LoanToSubsComp">#REF!</definedName>
    <definedName name="BS.MiscExpndr">#REF!</definedName>
    <definedName name="BS.NetBlock">#REF!</definedName>
    <definedName name="BS.NetCurrAsset">#REF!</definedName>
    <definedName name="BS.OthCurrAsset">#REF!</definedName>
    <definedName name="BS.OthProvision">#REF!</definedName>
    <definedName name="BS.OthResr">#REF!</definedName>
    <definedName name="BS.OthSD">#REF!</definedName>
    <definedName name="BS.OverSixMonthSD">#REF!</definedName>
    <definedName name="BS.PartnerOrMemberCap">#REF!</definedName>
    <definedName name="BS.PreferShares">#REF!</definedName>
    <definedName name="BS.ProposedDividend">#REF!</definedName>
    <definedName name="BS.RawMatl">#REF!</definedName>
    <definedName name="BS.RevResr">#REF!</definedName>
    <definedName name="BS.SecurPremResr">#REF!</definedName>
    <definedName name="BS.ShareAppMoney">#REF!</definedName>
    <definedName name="BS.StatResr">#REF!</definedName>
    <definedName name="BS.StkInProcess">#REF!</definedName>
    <definedName name="BS.StoresConsumables">#REF!</definedName>
    <definedName name="BS.SundryCred">#REF!</definedName>
    <definedName name="BS.SundryDebtors">#REF!</definedName>
    <definedName name="BS.TaxOnDividend">#REF!</definedName>
    <definedName name="BS.TotCashOrBankBal">#REF!</definedName>
    <definedName name="BS.TotCurrAsset">#REF!</definedName>
    <definedName name="BS.TotCurrAssetLoanAdv">#REF!</definedName>
    <definedName name="BS.TotCurrLiabilities">#REF!</definedName>
    <definedName name="BS.TotCurrLiabilitiesProvision">#REF!</definedName>
    <definedName name="BS.TotFixedAsset">#REF!</definedName>
    <definedName name="BS.TotFundApply">#REF!</definedName>
    <definedName name="BS.TotFundSrc">#REF!</definedName>
    <definedName name="BS.TotInventries">#REF!</definedName>
    <definedName name="BS.TotInvestments">#REF!</definedName>
    <definedName name="BS.TotLoanAdv">#REF!</definedName>
    <definedName name="BS.TotLoanFund">#REF!</definedName>
    <definedName name="BS.TotLongTermInv">#REF!</definedName>
    <definedName name="BS.TotLongTermLoan">#REF!</definedName>
    <definedName name="BS.TotMiscAdjust">#REF!</definedName>
    <definedName name="BS.TotPartnerOrMemberFund">#REF!</definedName>
    <definedName name="BS.TotProvisions">#REF!</definedName>
    <definedName name="BS.TotResrNSurp">#REF!</definedName>
    <definedName name="BS.TotRupeeLoan">#REF!</definedName>
    <definedName name="BS.TotSecrLoan">#REF!</definedName>
    <definedName name="BS.TotShareCapital">#REF!</definedName>
    <definedName name="BS.TotShortTermLoan">#REF!</definedName>
    <definedName name="BS.TotStkInTradAmt">#REF!</definedName>
    <definedName name="BS.TotSundryCrdAmt">#REF!</definedName>
    <definedName name="BS.TotSundryDbtAmt">#REF!</definedName>
    <definedName name="BS.TotSundryDebtors">#REF!</definedName>
    <definedName name="BS.TotTradeInv">#REF!</definedName>
    <definedName name="BS.TotUnSecrLoan">#REF!</definedName>
    <definedName name="BS.UnpaidCallMoney">#REF!</definedName>
    <definedName name="BS.UnpaidDividend">#REF!</definedName>
    <definedName name="BS.UnpaidMatureDebenture">#REF!</definedName>
    <definedName name="BS.WTProvision">#REF!</definedName>
    <definedName name="bsp">#REF!</definedName>
    <definedName name="BSSec.FrmBank">#REF!</definedName>
    <definedName name="BSSec.FrmOthrs">#REF!</definedName>
    <definedName name="BSUnSec.FrmBank">#REF!</definedName>
    <definedName name="BSUnSec.FrmOthrs">#REF!</definedName>
    <definedName name="BudFullYr">#REF!</definedName>
    <definedName name="BudMth">#REF!</definedName>
    <definedName name="BudYtd">#REF!</definedName>
    <definedName name="BUILDTOT">#REF!</definedName>
    <definedName name="BuiltIn_Print_Area">#REF!</definedName>
    <definedName name="BuiltIn_Print_Area___0">#REF!</definedName>
    <definedName name="CA">#REF!</definedName>
    <definedName name="capex_hgb_act">#REF!</definedName>
    <definedName name="capgains">#REF!</definedName>
    <definedName name="cashflow">{"'COPY'!$H$26"}</definedName>
    <definedName name="cbs">#REF!</definedName>
    <definedName name="CC">"Delmet Coatings Pvt Ltd"</definedName>
    <definedName name="ccdetail">#REF!</definedName>
    <definedName name="CHA">#REF!</definedName>
    <definedName name="CHANGE">#REF!</definedName>
    <definedName name="cmb_FBI.EmployeesInOutIndiaFlg">#REF!</definedName>
    <definedName name="cmb_FBI.SeparateAcntMaintainForIndiaForeignFlg">#REF!</definedName>
    <definedName name="cmb_PAGBU2.BusOrgType">#REF!</definedName>
    <definedName name="cmb_PAGH2.NatOfCompFlg">#REF!</definedName>
    <definedName name="cmb_PAGH2.StateCode">#REF!</definedName>
    <definedName name="cmb_TCS.StateCode">#REF!</definedName>
    <definedName name="cmb_TDS2.StateCode">#REF!</definedName>
    <definedName name="cmbyn">#REF!</definedName>
    <definedName name="CNSHC">#REF!</definedName>
    <definedName name="CNSNEW">#REF!</definedName>
    <definedName name="CNSTOTAL">#REF!</definedName>
    <definedName name="CO">#REF!</definedName>
    <definedName name="COMP">#REF!</definedName>
    <definedName name="comp1">#REF!</definedName>
    <definedName name="Company">#REF!</definedName>
    <definedName name="COMPUTATION_OF_INTEREST_UNDER_SECTION_234_C">#REF!</definedName>
    <definedName name="CONHC">#REF!</definedName>
    <definedName name="CONNEW">#REF!</definedName>
    <definedName name="Contents">#REF!</definedName>
    <definedName name="CONTINUE">#REF!</definedName>
    <definedName name="CONTOT">#REF!</definedName>
    <definedName name="COPM">#REF!</definedName>
    <definedName name="Costcentre">#REF!</definedName>
    <definedName name="Country">#REF!</definedName>
    <definedName name="cp">INDEX([0]!Costcentre,MATCH(#REF!,[0]!ccdetail,0),3)</definedName>
    <definedName name="_xlnm.Criteria">#REF!</definedName>
    <definedName name="currmth">#REF!</definedName>
    <definedName name="CurrMth1">#REF!</definedName>
    <definedName name="d344F248">#REF!</definedName>
    <definedName name="Data">#REF!</definedName>
    <definedName name="DATA11">#REF!</definedName>
    <definedName name="DATA4">#REF!</definedName>
    <definedName name="DATA8">#REF!</definedName>
    <definedName name="_xlnm.Database">#REF!</definedName>
    <definedName name="DATE">#REF!</definedName>
    <definedName name="DATECALC">#N/A</definedName>
    <definedName name="Datenbanken">#REF!</definedName>
    <definedName name="dates">#REF!</definedName>
    <definedName name="datesdetail">#REF!</definedName>
    <definedName name="ddd" hidden="1">#REF!,#REF!</definedName>
    <definedName name="DDTP.Amt">#REF!</definedName>
    <definedName name="DDTP.BSRCode">#REF!</definedName>
    <definedName name="DDTP.DateDep">#REF!</definedName>
    <definedName name="DDTP.NameOfBank">#REF!</definedName>
    <definedName name="DDTP.NameOfBranch">#REF!</definedName>
    <definedName name="DDTP.SrlNoOfChaln">#REF!</definedName>
    <definedName name="DealsAbUS250Actual2005">#REF!</definedName>
    <definedName name="DealsAbUS250Actual2006">#REF!</definedName>
    <definedName name="DealsAbUS250Plan2006">#REF!</definedName>
    <definedName name="DealsAbUS250Plan2007">#REF!</definedName>
    <definedName name="DealsAbUS500Actual2005">#REF!</definedName>
    <definedName name="DealsAbUS500Actual2006">#REF!</definedName>
    <definedName name="DealsAbUS500Plan2006">#REF!</definedName>
    <definedName name="DealsAbUS500Plan2007">#REF!</definedName>
    <definedName name="DealsAbUS50Actual2005">#REF!</definedName>
    <definedName name="DealsAbUS50Actual2006">#REF!</definedName>
    <definedName name="DealsAbUS50Plan2006">#REF!</definedName>
    <definedName name="DealsAbUS50Plan2007">#REF!</definedName>
    <definedName name="DEC">#REF!</definedName>
    <definedName name="DECEMBER">#REF!</definedName>
    <definedName name="DECFA">#REF!</definedName>
    <definedName name="DEP">#REF!</definedName>
    <definedName name="Department">#REF!</definedName>
    <definedName name="DEPN">#REF!</definedName>
    <definedName name="DEPNFINAL">#REF!</definedName>
    <definedName name="Division">#REF!</definedName>
    <definedName name="DRUBLFW">#REF!</definedName>
    <definedName name="DRUBLTDM">#REF!</definedName>
    <definedName name="EDUHC">#REF!</definedName>
    <definedName name="EDUNEW">#REF!</definedName>
    <definedName name="EDUTOT">#REF!</definedName>
    <definedName name="EmployTaxPercent">#REF!</definedName>
    <definedName name="END">#REF!</definedName>
    <definedName name="End_Bal">#REF!</definedName>
    <definedName name="ENGL">#REF!</definedName>
    <definedName name="ENGLAND">#REF!</definedName>
    <definedName name="EUHQ">#REF!</definedName>
    <definedName name="EUROCALC">INDEX(Costcentre,MATCH(#REF!,ccdetail,0),2)</definedName>
    <definedName name="EUROPEAN_HQ">#REF!</definedName>
    <definedName name="Excel_BuiltIn_Database">#REF!</definedName>
    <definedName name="Excel_BuiltIn_Print_Area">NA()</definedName>
    <definedName name="Excel_BuiltIn_Print_Area_4">#REF!</definedName>
    <definedName name="Extra_Pay">#REF!</definedName>
    <definedName name="FA">#REF!</definedName>
    <definedName name="FACOH">#REF!</definedName>
    <definedName name="FBClass">#REF!</definedName>
    <definedName name="FBT.Amt">#REF!</definedName>
    <definedName name="FBT.BSRCode">#REF!</definedName>
    <definedName name="FBT.DateDep">#REF!</definedName>
    <definedName name="FBT.FormulaOfS">#REF!</definedName>
    <definedName name="FBT.NameOfBank">#REF!</definedName>
    <definedName name="FBT.NameOfBranch">#REF!</definedName>
    <definedName name="FBT.SrlNoOfChaln">#REF!</definedName>
    <definedName name="FEB">#REF!</definedName>
    <definedName name="FEBFA">#REF!</definedName>
    <definedName name="FEBRUARY">#REF!</definedName>
    <definedName name="FGG" hidden="1">#REF!</definedName>
    <definedName name="fill">#REF!</definedName>
    <definedName name="FIN">#REF!</definedName>
    <definedName name="finance">#REF!</definedName>
    <definedName name="FINHC">#REF!</definedName>
    <definedName name="FINNEW">#REF!</definedName>
    <definedName name="FINTOT">#REF!</definedName>
    <definedName name="Firma">#REF!</definedName>
    <definedName name="Firmen">#REF!</definedName>
    <definedName name="forecast1">#REF!</definedName>
    <definedName name="FRAN">#REF!</definedName>
    <definedName name="FRANCE">#REF!</definedName>
    <definedName name="Full_Print">#REF!</definedName>
    <definedName name="Function">#REF!</definedName>
    <definedName name="GAAPBlätter">#REF!</definedName>
    <definedName name="GERM">#REF!</definedName>
    <definedName name="GERMANY">#REF!</definedName>
    <definedName name="Group">#REF!</definedName>
    <definedName name="GROUPCALC">INDEX(Costcentre,MATCH(#REF!,ccdetail,0),2)</definedName>
    <definedName name="GUNDVDM">#REF!</definedName>
    <definedName name="GUVANDM">#REF!</definedName>
    <definedName name="GUVANGTDM">#REF!</definedName>
    <definedName name="GUVDM">#REF!</definedName>
    <definedName name="GUVERLDM">#REF!</definedName>
    <definedName name="GUVTDM">#REF!</definedName>
    <definedName name="gytuy">#REF!</definedName>
    <definedName name="Hauptblätter">#REF!</definedName>
    <definedName name="Header_Row">ROW(#REF!)</definedName>
    <definedName name="HGBBlätter">#REF!</definedName>
    <definedName name="HOLL">#REF!</definedName>
    <definedName name="HOLLAND">#REF!</definedName>
    <definedName name="HTML_CodePage">1252</definedName>
    <definedName name="HTML_Control">{"'COPY'!$H$26"}</definedName>
    <definedName name="HTML_Description">""</definedName>
    <definedName name="HTML_Email">""</definedName>
    <definedName name="HTML_Header">"COPY"</definedName>
    <definedName name="HTML_LastUpdate">"10/28/00"</definedName>
    <definedName name="HTML_LineAfter">FALSE</definedName>
    <definedName name="HTML_LineBefore">FALSE</definedName>
    <definedName name="HTML_Name">"DEVI SEA FOODS LIMITED"</definedName>
    <definedName name="HTML_OBDlg2">TRUE</definedName>
    <definedName name="HTML_OBDlg4">TRUE</definedName>
    <definedName name="HTML_OS">0</definedName>
    <definedName name="HTML_PathFile">"C:\My Documents\Excel\Exports\MyHTML.htm"</definedName>
    <definedName name="HTML_Title">"Sight Draft1"</definedName>
    <definedName name="i">#REF!</definedName>
    <definedName name="INPUT">#REF!</definedName>
    <definedName name="Int">#REF!</definedName>
    <definedName name="Interest_Rate">#REF!</definedName>
    <definedName name="INTEREST1">#REF!</definedName>
    <definedName name="inv_prt">#REF!</definedName>
    <definedName name="IT.Amt">#REF!</definedName>
    <definedName name="IT.BSRCode">#REF!</definedName>
    <definedName name="IT.DateDep">#REF!</definedName>
    <definedName name="IT.FormulaOFS">#REF!</definedName>
    <definedName name="IT.NameOfBank">#REF!</definedName>
    <definedName name="IT.NameOfBranch">#REF!</definedName>
    <definedName name="IT.SrlNoOfChaln">#REF!</definedName>
    <definedName name="ITAL">#REF!</definedName>
    <definedName name="ITALY">#REF!</definedName>
    <definedName name="ITHC">#REF!</definedName>
    <definedName name="ITNEW">#REF!</definedName>
    <definedName name="ITTOT">#REF!</definedName>
    <definedName name="JAN">#REF!</definedName>
    <definedName name="JANFA">#REF!</definedName>
    <definedName name="JANUARY">#REF!</definedName>
    <definedName name="JAPA">#REF!</definedName>
    <definedName name="JAPAN">#REF!</definedName>
    <definedName name="JUL">#REF!</definedName>
    <definedName name="JULFA">#REF!</definedName>
    <definedName name="JULY">#REF!</definedName>
    <definedName name="JUN">#REF!</definedName>
    <definedName name="JUNE">#REF!</definedName>
    <definedName name="JUNFA">#REF!</definedName>
    <definedName name="JuniorRate">#REF!</definedName>
    <definedName name="KENNDM">#REF!</definedName>
    <definedName name="KENNFW">#REF!</definedName>
    <definedName name="KENNZDM">#REF!</definedName>
    <definedName name="KURS">#REF!</definedName>
    <definedName name="KZFW">#REF!</definedName>
    <definedName name="KZTDM">#REF!</definedName>
    <definedName name="l">#REF!</definedName>
    <definedName name="Last_Row">IF([0]!Values_Entered,Header_Row+[0]!Number_of_Payments,Header_Row)</definedName>
    <definedName name="liab_hgb_act">#REF!</definedName>
    <definedName name="Loan_Amount">#REF!</definedName>
    <definedName name="Loan_Months">#REF!</definedName>
    <definedName name="Loan_Start">#REF!</definedName>
    <definedName name="Loan_Years">#REF!</definedName>
    <definedName name="Locality">#REF!</definedName>
    <definedName name="Location">#REF!</definedName>
    <definedName name="LYMth">#REF!</definedName>
    <definedName name="LYYtd">#REF!</definedName>
    <definedName name="MAK">#REF!</definedName>
    <definedName name="MANAGERCALC">INDEX(Costcentre,MATCH(#REF!,ccdetail,0),3)</definedName>
    <definedName name="manger">INDEX([0]!Costcentre,MATCH(#REF!,[0]!ccdetail,0),3)</definedName>
    <definedName name="MAR">#REF!</definedName>
    <definedName name="MARCH">#REF!</definedName>
    <definedName name="MARFA">#REF!</definedName>
    <definedName name="Market">#REF!</definedName>
    <definedName name="MAY">#REF!</definedName>
    <definedName name="MAYFA">#REF!</definedName>
    <definedName name="MAYIPP">#REF!</definedName>
    <definedName name="MgrRate">#REF!</definedName>
    <definedName name="MISC">INDEX([0]!dates,MATCH(#REF!,[0]!datesdetail,0),2)</definedName>
    <definedName name="MKTHC">#REF!</definedName>
    <definedName name="MKTNEW">#REF!</definedName>
    <definedName name="MKTTOT">#REF!</definedName>
    <definedName name="MMF">#REF!</definedName>
    <definedName name="MMFGROUP">#N/A</definedName>
    <definedName name="MMFSUBCALC">IF(#REF!="SEUGI",INDEX([0]!ACCOUNT,MATCH(#REF!,Accdetail,0),3),INDEX([0]!ACCOUNT,MATCH(#REF!,Accdetail,0),3))</definedName>
    <definedName name="Monate">#REF!</definedName>
    <definedName name="Monatsname">#REF!</definedName>
    <definedName name="Monatsnamen">#REF!</definedName>
    <definedName name="moorings">#REF!</definedName>
    <definedName name="Moratorium_Period">#REF!</definedName>
    <definedName name="MthAct">#REF!</definedName>
    <definedName name="MthBud">#REF!</definedName>
    <definedName name="MthHeading">#REF!</definedName>
    <definedName name="NAME">#REF!</definedName>
    <definedName name="name2">#REF!</definedName>
    <definedName name="net_balance">#REF!</definedName>
    <definedName name="NEUC">#REF!</definedName>
    <definedName name="NEUCHATEL">#REF!</definedName>
    <definedName name="newack2">#REF!</definedName>
    <definedName name="note_2">#REF!</definedName>
    <definedName name="NOTE_3">#REF!</definedName>
    <definedName name="NOTE_4">#REF!</definedName>
    <definedName name="notes">"Notes forming part of the financials statements"</definedName>
    <definedName name="NOV">#REF!</definedName>
    <definedName name="NOVEMBER">#REF!</definedName>
    <definedName name="NOVFA">#REF!</definedName>
    <definedName name="NULLANZ">#REF!</definedName>
    <definedName name="NULLUNT">#REF!</definedName>
    <definedName name="NUMBER">#REF!</definedName>
    <definedName name="Number_of_Payments">MATCH(0.01,End_Bal,-1)+1</definedName>
    <definedName name="OCT">#REF!</definedName>
    <definedName name="OCTFA">#REF!</definedName>
    <definedName name="OCTOBER">#REF!</definedName>
    <definedName name="Office">#REF!</definedName>
    <definedName name="OFFICETOT">#REF!</definedName>
    <definedName name="On_Term_Loans___Cash_Credit">#REF!</definedName>
    <definedName name="OP">INDEX([0]!Costcentre,MATCH(#REF!,[0]!ccdetail,0),3)</definedName>
    <definedName name="OtherPercent">#REF!</definedName>
    <definedName name="P">#REF!</definedName>
    <definedName name="PAG">#REF!</definedName>
    <definedName name="PAGE">#REF!</definedName>
    <definedName name="PAGE1">#REF!</definedName>
    <definedName name="PAGE2">#REF!</definedName>
    <definedName name="PAGE3">#REF!</definedName>
    <definedName name="pan">#REF!</definedName>
    <definedName name="PASDM">#REF!</definedName>
    <definedName name="PASSDM">#REF!</definedName>
    <definedName name="PASSIVDM">#REF!</definedName>
    <definedName name="PASSTDM">#REF!</definedName>
    <definedName name="Pay_Date">#REF!</definedName>
    <definedName name="Pay_Num">#REF!</definedName>
    <definedName name="Payment_Date">NA()</definedName>
    <definedName name="PENSION">#REF!</definedName>
    <definedName name="PensionPercent">#REF!</definedName>
    <definedName name="PERHC">#REF!</definedName>
    <definedName name="PeriodsInYear">#REF!</definedName>
    <definedName name="PERNEW">#REF!</definedName>
    <definedName name="PERTOT">#REF!</definedName>
    <definedName name="PG">#REF!</definedName>
    <definedName name="PL">#REF!</definedName>
    <definedName name="PL.Advertisement">#REF!</definedName>
    <definedName name="PL.AmtAvlAppr">#REF!</definedName>
    <definedName name="PL.AuditFee">#REF!</definedName>
    <definedName name="PL.BadDebt">#REF!</definedName>
    <definedName name="PL.BalBFPrevYr">#REF!</definedName>
    <definedName name="PL.Bonus">#REF!</definedName>
    <definedName name="PL.BusinessReceipts">#REF!</definedName>
    <definedName name="PL.ClosingStock">#REF!</definedName>
    <definedName name="PL.ClubExp">#REF!</definedName>
    <definedName name="PL.Comissions">#REF!</definedName>
    <definedName name="PL.CommissionExpdr">#REF!</definedName>
    <definedName name="PL.Conference">#REF!</definedName>
    <definedName name="PL.ConsumptionOfStores">#REF!</definedName>
    <definedName name="PL.ContToGratFund">#REF!</definedName>
    <definedName name="PL.ContToOthFund">#REF!</definedName>
    <definedName name="PL.ContToPF">#REF!</definedName>
    <definedName name="PL.ContToSuperAnnFund">#REF!</definedName>
    <definedName name="PL.ConveyanceExp">#REF!</definedName>
    <definedName name="PL.DepreciationAmort">#REF!</definedName>
    <definedName name="PL.Dividends">#REF!</definedName>
    <definedName name="PL.Donation">#REF!</definedName>
    <definedName name="PL.Entertainment">#REF!</definedName>
    <definedName name="PL.Expenses">#REF!</definedName>
    <definedName name="PL.FBTPay">#REF!</definedName>
    <definedName name="PL.FestivalCelebExp">#REF!</definedName>
    <definedName name="PL.Freight">#REF!</definedName>
    <definedName name="PL.Gift">#REF!</definedName>
    <definedName name="PL.GrossProfit">#REF!</definedName>
    <definedName name="PL.GrossReceipt">#REF!</definedName>
    <definedName name="PL.GuestHouseExp">#REF!</definedName>
    <definedName name="PL.Hospitality">#REF!</definedName>
    <definedName name="PL.HotelBoardLodge">#REF!</definedName>
    <definedName name="PL.InterestExpdr">#REF!</definedName>
    <definedName name="PL.InterestInc">#REF!</definedName>
    <definedName name="PL.KeyManInsur">#REF!</definedName>
    <definedName name="PL.LeaveEncash">#REF!</definedName>
    <definedName name="PL.LeaveTravelBenft">#REF!</definedName>
    <definedName name="PL.LifeInsur">#REF!</definedName>
    <definedName name="PL.MedExpReimb">#REF!</definedName>
    <definedName name="PL.MedInsur">#REF!</definedName>
    <definedName name="PL.MiscOthIncome">#REF!</definedName>
    <definedName name="PL.NetProfit">#REF!</definedName>
    <definedName name="PL.OpeningStock">#REF!</definedName>
    <definedName name="PL.OthEmpBenftExpdr">#REF!</definedName>
    <definedName name="PL.OtherExpenses">#REF!</definedName>
    <definedName name="PL.OthInsur">#REF!</definedName>
    <definedName name="PL.OthProvisionsExpdr">#REF!</definedName>
    <definedName name="PL.PartnerAccBalTrf">#REF!</definedName>
    <definedName name="PL.PBIDTA">#REF!</definedName>
    <definedName name="PL.PBT">#REF!</definedName>
    <definedName name="PL.PowerFuel">#REF!</definedName>
    <definedName name="PL.ProfitAfterTax">#REF!</definedName>
    <definedName name="PL.ProfitOnAgriIncome">#REF!</definedName>
    <definedName name="PL.ProfitOnCurrFluct">#REF!</definedName>
    <definedName name="PL.ProfitOnInvChrSTT">#REF!</definedName>
    <definedName name="PL.ProfitOnOthInv">#REF!</definedName>
    <definedName name="PL.ProfitOnSaleFixedAsset">#REF!</definedName>
    <definedName name="PL.ProposedDividend">#REF!</definedName>
    <definedName name="PL.ProvDefTax">#REF!</definedName>
    <definedName name="PL.ProvFBT">#REF!</definedName>
    <definedName name="PL.ProvForBadDoubtDebt">#REF!</definedName>
    <definedName name="PL.ProvForCurrTax">#REF!</definedName>
    <definedName name="PL.Purchases">#REF!</definedName>
    <definedName name="PL.RentExpdr">#REF!</definedName>
    <definedName name="PL.RentInc">#REF!</definedName>
    <definedName name="PL.RepairMach">#REF!</definedName>
    <definedName name="PL.RepairsBldg">#REF!</definedName>
    <definedName name="PL.SalePromoExp">#REF!</definedName>
    <definedName name="PL.SalsWages">#REF!</definedName>
    <definedName name="PL.Scholarship">#REF!</definedName>
    <definedName name="PL.StaffWelfareExp">#REF!</definedName>
    <definedName name="PL.TaxOnDividend">#REF!</definedName>
    <definedName name="PL.TaxOnDividendForEarYr">#REF!</definedName>
    <definedName name="PL.TelephoneExp">#REF!</definedName>
    <definedName name="PL.TotAppropriations">#REF!</definedName>
    <definedName name="PL.TotCreditsToPL">#REF!</definedName>
    <definedName name="PL.TotEmployeeComp">#REF!</definedName>
    <definedName name="PL.TotInsurances">#REF!</definedName>
    <definedName name="PL.TotOthIncome">#REF!</definedName>
    <definedName name="PL.TravelExp">#REF!</definedName>
    <definedName name="PL.TrfToReserves">#REF!</definedName>
    <definedName name="pl_hgb_act">#REF!</definedName>
    <definedName name="PLA">#REF!</definedName>
    <definedName name="PLCrEx.OthDutyTaxCess">#REF!</definedName>
    <definedName name="PLCrEx.ServiceTax">#REF!</definedName>
    <definedName name="PLCrEx.TotExciseCustomsVAT">#REF!</definedName>
    <definedName name="PLCrEx.UnionExciseDuty">#REF!</definedName>
    <definedName name="PLCrEx.VATorSaleTax">#REF!</definedName>
    <definedName name="PLDutiEx.CounterVailDuty">#REF!</definedName>
    <definedName name="PLDutiEx.CustomDuty">#REF!</definedName>
    <definedName name="PLDutiEx.OthDutyTaxCess">#REF!</definedName>
    <definedName name="PLDutiEx.ServiceTax">#REF!</definedName>
    <definedName name="PLDutiEx.SplAddDuty">#REF!</definedName>
    <definedName name="PLDutiEx.TotExciseCustomsVAT">#REF!</definedName>
    <definedName name="PLDutiEx.UnionExciseDuty">#REF!</definedName>
    <definedName name="PLDutiEx.VATorSaleTax">#REF!</definedName>
    <definedName name="PLRateEx.Cess">#REF!</definedName>
    <definedName name="PLRateEx.OthDutyTaxCess">#REF!</definedName>
    <definedName name="PLRateEx.ServiceTax">#REF!</definedName>
    <definedName name="PLRateEx.TotExciseCustomsVAT">#REF!</definedName>
    <definedName name="PLRateEx.UnionExciseDuty">#REF!</definedName>
    <definedName name="PLRateEx.VATorSaleTax">#REF!</definedName>
    <definedName name="pol">#REF!</definedName>
    <definedName name="post">{#N/A,#N/A,FALSE,"ADANI"}</definedName>
    <definedName name="pre">IF(#REF!="SEUGI",INDEX([0]!ACCOUNT,MATCH(#REF!,[0]!Accdetail,0),3),INDEX([0]!ACCOUNT,MATCH(#REF!,[0]!Accdetail,0),3))</definedName>
    <definedName name="Princ">#REF!</definedName>
    <definedName name="PRINT">#REF!</definedName>
    <definedName name="_xlnm.Print_Area" localSheetId="0">'FINAL LIST TO UPLOAD IN ERP'!$A$1:$W$183</definedName>
    <definedName name="_xlnm.Print_Area">#REF!</definedName>
    <definedName name="PRINT_AREA_MI">#REF!</definedName>
    <definedName name="Print_Area_Reset">OFFSET(Full_Print,0,0,Last_Row)</definedName>
    <definedName name="PriorMth">#REF!</definedName>
    <definedName name="Project">#REF!</definedName>
    <definedName name="PURCHASEPRICE">#REF!</definedName>
    <definedName name="PY">"As at 31 March, 2015"</definedName>
    <definedName name="Qd">#REF!</definedName>
    <definedName name="qqqqqqq">IF(#REF!="SEUGI",INDEX([0]!ACCOUNT,MATCH(#REF!,[0]!Accdetail,0),3),INDEX([0]!ACCOUNT,MATCH(#REF!,[0]!Accdetail,0),3))</definedName>
    <definedName name="Range">#N/A</definedName>
    <definedName name="Rates">#REF!</definedName>
    <definedName name="Ratings">#REF!</definedName>
    <definedName name="re">INDEX([0]!Costcentre,MATCH(#REF!,[0]!ccdetail,0),3)</definedName>
    <definedName name="_xlnm.Recorder">#REF!</definedName>
    <definedName name="Refund">#REF!</definedName>
    <definedName name="Region">#REF!</definedName>
    <definedName name="RENCAN">#REF!</definedName>
    <definedName name="RENGROSS">#REF!</definedName>
    <definedName name="RepPeriod">#REF!</definedName>
    <definedName name="reprev">#REF!</definedName>
    <definedName name="ROYALTY">#REF!</definedName>
    <definedName name="s_bs">#REF!</definedName>
    <definedName name="s_pl">#REF!</definedName>
    <definedName name="sagar">#REF!</definedName>
    <definedName name="SALARYCENTER">#REF!</definedName>
    <definedName name="SALARYCENTER1">#REF!</definedName>
    <definedName name="SALARYCENTER10">#REF!</definedName>
    <definedName name="SALARYCENTER11">#REF!</definedName>
    <definedName name="SALARYCENTER12">#REF!</definedName>
    <definedName name="SALARYCENTER13">#REF!</definedName>
    <definedName name="SALARYCENTER14">#REF!</definedName>
    <definedName name="SALARYCENTER15">#REF!</definedName>
    <definedName name="SALARYCENTER16">#REF!</definedName>
    <definedName name="SALARYCENTER17">#REF!</definedName>
    <definedName name="SALARYCENTER18">#REF!</definedName>
    <definedName name="SALARYCENTER19">#REF!</definedName>
    <definedName name="SALARYCENTER2">#REF!</definedName>
    <definedName name="SALARYCENTER20">#REF!</definedName>
    <definedName name="SALARYCENTER21">#REF!</definedName>
    <definedName name="SALARYCENTER22">#REF!</definedName>
    <definedName name="SALARYCENTER3">#REF!</definedName>
    <definedName name="SALARYCENTER4">#REF!</definedName>
    <definedName name="SALARYCENTER5">#REF!</definedName>
    <definedName name="SALARYCENTER6">#REF!</definedName>
    <definedName name="SALARYCENTER7">#REF!</definedName>
    <definedName name="SALARYCENTER8">#REF!</definedName>
    <definedName name="SALARYCENTER9">#REF!</definedName>
    <definedName name="SALHC">#REF!</definedName>
    <definedName name="SALNEW">#REF!</definedName>
    <definedName name="SALTOT">#REF!</definedName>
    <definedName name="SAS_Institute_Japan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ASD">#REF!</definedName>
    <definedName name="sdfjf" hidden="1">#REF!</definedName>
    <definedName name="section.SheduleBFT">#REF!</definedName>
    <definedName name="section.SheduleIT">#REF!</definedName>
    <definedName name="section.SheduleTCS">#REF!</definedName>
    <definedName name="section.SheduleTDS2">#REF!</definedName>
    <definedName name="Sector">#REF!</definedName>
    <definedName name="SEP">#REF!</definedName>
    <definedName name="SEPFA">#REF!</definedName>
    <definedName name="SEPTEMBER">#REF!</definedName>
    <definedName name="Server">#REF!</definedName>
    <definedName name="sfd">#REF!</definedName>
    <definedName name="Sheet_1_ListCol_9">#REF!</definedName>
    <definedName name="sheet22.AccountType">#REF!</definedName>
    <definedName name="sheet22.YesNo">#REF!</definedName>
    <definedName name="SK">INDEX(Costcentre,MATCH(#REF!,ccdetail,0),3)</definedName>
    <definedName name="sks">IF(#REF!="SEUGI",INDEX([0]!ACCOUNT,MATCH(#REF!,[0]!Accdetail,0),3),INDEX([0]!ACCOUNT,MATCH(#REF!,[0]!Accdetail,0),3))</definedName>
    <definedName name="SKSS">IF(#REF!="SEUGI",INDEX([0]!ACCOUNT,MATCH(#REF!,Accdetail,0),3),INDEX([0]!ACCOUNT,MATCH(#REF!,Accdetail,0),3))</definedName>
    <definedName name="SKSSK">IF(#REF!="SEUGI",INDEX([0]!ACCOUNT,MATCH(#REF!,Accdetail,0),3),INDEX([0]!ACCOUNT,MATCH(#REF!,Accdetail,0),3))</definedName>
    <definedName name="skssks">IF(#REF!="SEUGI",INDEX([0]!ACCOUNT,MATCH(#REF!,[0]!Accdetail,0),3),INDEX([0]!ACCOUNT,MATCH(#REF!,[0]!Accdetail,0),3))</definedName>
    <definedName name="SOCSEC">#REF!</definedName>
    <definedName name="SOFTADMIN">#REF!</definedName>
    <definedName name="SOFTCNS">#REF!</definedName>
    <definedName name="SOFTCON">#REF!</definedName>
    <definedName name="SOFTEDU">#REF!</definedName>
    <definedName name="SOFTFIN">#REF!</definedName>
    <definedName name="SOFTIT">#REF!</definedName>
    <definedName name="SOFTMKT">#REF!</definedName>
    <definedName name="SOFTPER">#REF!</definedName>
    <definedName name="SOFTSAL">#REF!</definedName>
    <definedName name="SOFTSSP">#REF!</definedName>
    <definedName name="SOFTTCS">#REF!</definedName>
    <definedName name="SPAIN">#REF!</definedName>
    <definedName name="Spalte">#REF!-14</definedName>
    <definedName name="SPAN">#REF!</definedName>
    <definedName name="Spec">#REF!</definedName>
    <definedName name="spj">#N/A</definedName>
    <definedName name="SSPHC">#REF!</definedName>
    <definedName name="SSPNEW">#REF!</definedName>
    <definedName name="SSPTOT">#REF!</definedName>
    <definedName name="ST">#REF!</definedName>
    <definedName name="START">#REF!</definedName>
    <definedName name="START1">#REF!</definedName>
    <definedName name="start2">#REF!</definedName>
    <definedName name="State">#REF!</definedName>
    <definedName name="states">#REF!</definedName>
    <definedName name="STATION">#REF!</definedName>
    <definedName name="status">#REF!</definedName>
    <definedName name="stock1">#REF!</definedName>
    <definedName name="SWED">#REF!</definedName>
    <definedName name="SWEDEN">#REF!</definedName>
    <definedName name="SWIT">#REF!</definedName>
    <definedName name="SWITZERLAND">#REF!</definedName>
    <definedName name="SYSGROSS">#REF!</definedName>
    <definedName name="t">#REF!</definedName>
    <definedName name="Tax">#REF!</definedName>
    <definedName name="TAXCOMP1">#REF!</definedName>
    <definedName name="Taxtypelist">#REF!</definedName>
    <definedName name="TCS.AddrDetail">#REF!</definedName>
    <definedName name="TCS.AmtDebited">#REF!</definedName>
    <definedName name="TCS.AmtTCSClaimedThisYear">#REF!</definedName>
    <definedName name="TCS.CityOrTownOrDistrict">#REF!</definedName>
    <definedName name="TCS.DatePayDeb">#REF!</definedName>
    <definedName name="TCS.EmployerOrDeductorOrCollecterName">#REF!</definedName>
    <definedName name="TCS.PinCode">#REF!</definedName>
    <definedName name="TCS.StateCode">#REF!</definedName>
    <definedName name="TCS.TAN">#REF!</definedName>
    <definedName name="TCS.TotalTCS">#REF!</definedName>
    <definedName name="TCSHC">#REF!</definedName>
    <definedName name="TCSNEW">#REF!</definedName>
    <definedName name="TCSTOT">#REF!</definedName>
    <definedName name="TDS">#REF!</definedName>
    <definedName name="TDS2.AddrDetail">#REF!</definedName>
    <definedName name="TDS2.AmtPaid">#REF!</definedName>
    <definedName name="TDS2.CityOrTownOrDistrict">#REF!</definedName>
    <definedName name="TDS2.ClaimOutOfTotTDSOnAmtPaid">#REF!</definedName>
    <definedName name="TDS2.DatePayCred">#REF!</definedName>
    <definedName name="TDS2.EmployerOrDeductorOrCollecterName">#REF!</definedName>
    <definedName name="TDS2.PinCode">#REF!</definedName>
    <definedName name="TDS2.StateCode">#REF!</definedName>
    <definedName name="TDS2.TAN">#REF!</definedName>
    <definedName name="TDS2.TotTDSOnAmtPaid">#REF!</definedName>
    <definedName name="TDSCERTICATES">#REF!</definedName>
    <definedName name="TECHADMIN">#REF!</definedName>
    <definedName name="TECHCNS">#REF!</definedName>
    <definedName name="TECHCON">#REF!</definedName>
    <definedName name="TECHEDU">#REF!</definedName>
    <definedName name="TECHFIN">#REF!</definedName>
    <definedName name="TECHIT">#REF!</definedName>
    <definedName name="TECHMKT">#REF!</definedName>
    <definedName name="TECHPER">#REF!</definedName>
    <definedName name="TECHSAL">#REF!</definedName>
    <definedName name="TECHSSP">#REF!</definedName>
    <definedName name="TECHTCS">#REF!</definedName>
    <definedName name="ThisMonth">#REF!</definedName>
    <definedName name="Total_Interest">#REF!</definedName>
    <definedName name="Total_Pay">#REF!</definedName>
    <definedName name="Total_Payment">NA()</definedName>
    <definedName name="TOTIPP">#REF!</definedName>
    <definedName name="Trader">#REF!</definedName>
    <definedName name="TRIA">#REF!</definedName>
    <definedName name="UNEARNED">#REF!</definedName>
    <definedName name="UPGGROSS">#REF!</definedName>
    <definedName name="usergroup">#REF!</definedName>
    <definedName name="usergroupdetail">#REF!</definedName>
    <definedName name="ValidClass">#REF!</definedName>
    <definedName name="Values_Entered">IF(Loan_Amount*Interest_Rate*Loan_Years*Loan_Start&gt;0,1,0)</definedName>
    <definedName name="VSP">#REF!</definedName>
    <definedName name="w">#REF!</definedName>
    <definedName name="wrn.A." hidden="1">{#N/A,#N/A,FALSE,"ADANI"}</definedName>
    <definedName name="wrn_A_">{#N/A,#N/A,FALSE,"ADANI"}</definedName>
    <definedName name="x_dataentry">#REF!</definedName>
    <definedName name="XRate">#REF!</definedName>
    <definedName name="xx">#REF!</definedName>
    <definedName name="XXX">#REF!</definedName>
    <definedName name="year">#REF!</definedName>
    <definedName name="YrEndDate">#REF!</definedName>
    <definedName name="YtdMth13">#REF!</definedName>
    <definedName name="YTDPrior">#REF!</definedName>
    <definedName name="ytttr">#REF!</definedName>
    <definedName name="yyyyyy">#N/A</definedName>
    <definedName name="Z_0F549953_F146_487D_A764_2CAF5660D0E8_.wvu.Rows" hidden="1">#REF!,#REF!</definedName>
    <definedName name="ZUSDM">#REF!</definedName>
    <definedName name="ZUSTDM">#REF!</definedName>
  </definedNames>
  <calcPr calcId="191029" iterate="1" iterateCount="1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4" i="1" l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H167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H113" i="1"/>
  <c r="G113" i="1"/>
  <c r="G112" i="1"/>
  <c r="G111" i="1"/>
  <c r="G110" i="1"/>
  <c r="H109" i="1"/>
  <c r="G109" i="1"/>
  <c r="H108" i="1"/>
  <c r="G108" i="1"/>
  <c r="G107" i="1"/>
  <c r="G106" i="1"/>
  <c r="H105" i="1"/>
  <c r="G105" i="1"/>
  <c r="H104" i="1"/>
  <c r="G104" i="1"/>
  <c r="H103" i="1"/>
  <c r="G103" i="1"/>
  <c r="H102" i="1"/>
  <c r="G102" i="1"/>
  <c r="G101" i="1"/>
  <c r="G100" i="1"/>
  <c r="G99" i="1"/>
  <c r="G98" i="1"/>
  <c r="G97" i="1"/>
  <c r="G96" i="1"/>
  <c r="G95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G87" i="1"/>
  <c r="G86" i="1"/>
  <c r="G85" i="1"/>
  <c r="G84" i="1"/>
  <c r="H83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H31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H12" i="1"/>
  <c r="G12" i="1"/>
  <c r="H11" i="1"/>
  <c r="G11" i="1"/>
  <c r="H10" i="1"/>
  <c r="G10" i="1"/>
  <c r="G9" i="1"/>
  <c r="G8" i="1"/>
  <c r="G7" i="1"/>
  <c r="G6" i="1"/>
  <c r="G5" i="1"/>
  <c r="G4" i="1"/>
  <c r="G3" i="1"/>
  <c r="G184" i="1" s="1"/>
</calcChain>
</file>

<file path=xl/sharedStrings.xml><?xml version="1.0" encoding="utf-8"?>
<sst xmlns="http://schemas.openxmlformats.org/spreadsheetml/2006/main" count="742" uniqueCount="311">
  <si>
    <t>Party Name</t>
  </si>
  <si>
    <t>Order No</t>
  </si>
  <si>
    <t>Date</t>
  </si>
  <si>
    <t>Descripion</t>
  </si>
  <si>
    <t>QTY</t>
  </si>
  <si>
    <t>Qty Billied</t>
  </si>
  <si>
    <t>Balance Qty</t>
  </si>
  <si>
    <t>PDC</t>
  </si>
  <si>
    <t>Unit</t>
  </si>
  <si>
    <t>Total</t>
  </si>
  <si>
    <t>REMARKS</t>
  </si>
  <si>
    <t>LRSAM</t>
  </si>
  <si>
    <t>DRDL/PGLRSAM/1701/31P/23/210/0230</t>
  </si>
  <si>
    <t>Lining of M2B Motor</t>
  </si>
  <si>
    <t>Adibatla</t>
  </si>
  <si>
    <t>Lining of M3B Motor</t>
  </si>
  <si>
    <t>Liner Removal and Relining of Kill Vehicle and and fabrication of Assocated Hardware</t>
  </si>
  <si>
    <t>Liner removal and Reling of M1B Motor</t>
  </si>
  <si>
    <t>Liner removal and Reling of M2B Motor</t>
  </si>
  <si>
    <t>Liner removal and Reling of M3B Motor</t>
  </si>
  <si>
    <t>RCI</t>
  </si>
  <si>
    <t>RCI/26SO0081/RM2/RUDRAM-2/CMS-III</t>
  </si>
  <si>
    <t>Stage Processing Bonding and Machining of Nozzle Liners &amp; Assy.</t>
  </si>
  <si>
    <t>AADYAH</t>
  </si>
  <si>
    <t>2025260100</t>
  </si>
  <si>
    <t>Flex Seal Transfer Moulding Tool</t>
  </si>
  <si>
    <t>Thermal Boot Transfer Moulding Tool</t>
  </si>
  <si>
    <t>Flex Seal Pull test Fixture</t>
  </si>
  <si>
    <t>ANSP</t>
  </si>
  <si>
    <t>DRDL/9369/21/15K/2023/2062/2070P</t>
  </si>
  <si>
    <t>Processing of B2 CRMC</t>
  </si>
  <si>
    <t>DRDL/9369/21/15K/2023/2061/2071P</t>
  </si>
  <si>
    <t>Processing of B1 CRMC</t>
  </si>
  <si>
    <t>DRDL/9380/21/15K/2023/2065/2102P</t>
  </si>
  <si>
    <t>Processing of B3L CRMC</t>
  </si>
  <si>
    <t>DRDL/9484/21/15K/2023/2101/2134P</t>
  </si>
  <si>
    <t>Composite Sleeves of CGG</t>
  </si>
  <si>
    <t>DRDL/9485/21/15K/2023/2102/2135P</t>
  </si>
  <si>
    <t>Casing with liner (CGG) (MK-II)</t>
  </si>
  <si>
    <t>NE Dome with liner (CGG) (MK-II)</t>
  </si>
  <si>
    <t>ASL</t>
  </si>
  <si>
    <t>ASL/31/20/4061/17/0100/0226</t>
  </si>
  <si>
    <t>Processing of V1C Nozzle Liners Including  Machinging</t>
  </si>
  <si>
    <t>CPDC</t>
  </si>
  <si>
    <t>ASL/31/20/4061/17/0183/0091</t>
  </si>
  <si>
    <t>Insulation Rubber Lining for V1C Intermediate Dome &amp; M/c</t>
  </si>
  <si>
    <t>Send Letter 31-03-2026</t>
  </si>
  <si>
    <t>ASL/DD2/R/DD23/0147/20/2579/2539</t>
  </si>
  <si>
    <t>Processing ,Machining &amp; Realization of HPS2C Divergent Sub Assembly Nozzle Liners including coomposite profile Machining</t>
  </si>
  <si>
    <t>Processing ,Machining &amp; Realization of HPS2C Convergent Sub Assembly Nozzle Liners including coomposite profile Machining</t>
  </si>
  <si>
    <t>Processing ,Machining &amp; Realization of HPS3C Divergent Sub Assembly Nozzle Liners including coomposite profile Machining</t>
  </si>
  <si>
    <t>Processing ,Machining &amp; Realization of HPS3C Convergent Sub Assembly Nozzle Liners including coomposite profile Machining</t>
  </si>
  <si>
    <t>ASL/31/21/4067/17/0022/0011</t>
  </si>
  <si>
    <t>Procssing Of D1 Nozzle Liners Includes Composite Profile machining &amp; Nozzle Integration</t>
  </si>
  <si>
    <t>Procssing Of D2 Nozzle Liners Includes Composite Profile machining &amp; Nozzle Integration</t>
  </si>
  <si>
    <t>ASL/DA1P/R/DA1P/0133/22/1063/1034</t>
  </si>
  <si>
    <t>Bonding and SBU Layup of P1C Nozzle Liners</t>
  </si>
  <si>
    <t>ASL/DA1P/R/DA1P/0133/22/1056/1039</t>
  </si>
  <si>
    <t>Processing of P1C Nozzle Liners including composite profile machining and nozzle integration</t>
  </si>
  <si>
    <t>Processing of P2C Nozzle Liners including composite profile machining and nozzle integration</t>
  </si>
  <si>
    <t>PGAD</t>
  </si>
  <si>
    <t>PGAD/TD-RCI/AH/24-25/0009/50124</t>
  </si>
  <si>
    <t>KV TVC ASSEMBLY</t>
  </si>
  <si>
    <t>Design</t>
  </si>
  <si>
    <t>Flex seal proof pressure test fixture</t>
  </si>
  <si>
    <t>2025260129 R1</t>
  </si>
  <si>
    <t>Metallic Hardware</t>
  </si>
  <si>
    <t>Fasteners Brackets &amp; Turnbuckles</t>
  </si>
  <si>
    <t>Metallic Container with Vibration Pads</t>
  </si>
  <si>
    <t>One Time cost for tooling and Fixtures</t>
  </si>
  <si>
    <t>drdl/972/21/15k/2024/2176/2218P</t>
  </si>
  <si>
    <t>Section -1 Assembly</t>
  </si>
  <si>
    <t>IBRPTM</t>
  </si>
  <si>
    <t>Section -1 Tooling</t>
  </si>
  <si>
    <t xml:space="preserve">Section -1A Pocket Cover </t>
  </si>
  <si>
    <t xml:space="preserve">Section -1B Pocket Cover </t>
  </si>
  <si>
    <t>DRDL/9749/21/15LV/2024/0320/0336</t>
  </si>
  <si>
    <t>Rocasin Lining for AIR Booster</t>
  </si>
  <si>
    <t>Nasik</t>
  </si>
  <si>
    <t>Rocasin Lining for B-II Motor</t>
  </si>
  <si>
    <t>THEJO</t>
  </si>
  <si>
    <t>LIN/24-25/24050736-2</t>
  </si>
  <si>
    <t>Lining of 2 mm Rocasin Base Layer</t>
  </si>
  <si>
    <t>SHAR</t>
  </si>
  <si>
    <t>Lining of 1 mm Rocasin Base Layer</t>
  </si>
  <si>
    <t>Lining of 2 mm Rocasin Base subsequent Layer</t>
  </si>
  <si>
    <t>Lining of 1 mm Rocasin Base subsequent Layer</t>
  </si>
  <si>
    <t>Abrading Solvent cleaning Resin linging of Agni Sleeves</t>
  </si>
  <si>
    <t>Vaccum Bagging of Hardward</t>
  </si>
  <si>
    <t>Abrasion Vulcanised insuraltion surface for Hardware</t>
  </si>
  <si>
    <t>solvent cleaning spacer bellow bonding &amp; LF Extn for Hardware</t>
  </si>
  <si>
    <t>Lining of rubber sheet with carbon cloth as composite Lining</t>
  </si>
  <si>
    <t>SDSC SHAR/SMP&amp;ETF PURCHASE/SH2025P000920101</t>
  </si>
  <si>
    <t xml:space="preserve">Contract for Rocasin Lining of Agni Motor HE Domes </t>
  </si>
  <si>
    <t>DRDL/8801/21/15K/2021/1902/1903P</t>
  </si>
  <si>
    <t>supply of EPDM Rubber for B1,B2 and B3</t>
  </si>
  <si>
    <t>UNIT-1</t>
  </si>
  <si>
    <t>BDL</t>
  </si>
  <si>
    <t>3220009159</t>
  </si>
  <si>
    <t>Insulation for Rocekt Motor Casing Assy</t>
  </si>
  <si>
    <t>TO+45 Days</t>
  </si>
  <si>
    <t>Lining of Head Endcover Assy</t>
  </si>
  <si>
    <t>Linging of Igniter Canister Assy</t>
  </si>
  <si>
    <t>Lining of Nozzle Divergent Assy</t>
  </si>
  <si>
    <t>Linging of Intigrated Blast Tube</t>
  </si>
  <si>
    <t>FIM+3 Months</t>
  </si>
  <si>
    <t>Lining of Igniter Canister Assy</t>
  </si>
  <si>
    <t>Lining of Intigrated Blast Tube</t>
  </si>
  <si>
    <t>SHAR-SPP</t>
  </si>
  <si>
    <t>SDSC SHAR/SMPC-U2 PURCHASE/SH/2023P003700101</t>
  </si>
  <si>
    <t>SUPPLY OF EXTRUDED ROCASIN RUBBER SLEEVES</t>
  </si>
  <si>
    <t>SDSC SHAR/SMPC-U1 PURCHASE/SH2023P009510101</t>
  </si>
  <si>
    <t>supply of 2 mm thk uncured rocasin extruded sheet-2MM B/L</t>
  </si>
  <si>
    <t>supply of 1mm thick extruded-Base layer</t>
  </si>
  <si>
    <t>supply of 2mm thick extruded-subsequent layer</t>
  </si>
  <si>
    <t>supply of 1mm thick extruded-susequent layer</t>
  </si>
  <si>
    <t>supply of rocasin sleeves-Agni</t>
  </si>
  <si>
    <t>Rubber Lining for Vaccum Bagging</t>
  </si>
  <si>
    <t>Rubber Lining abrasion of vulcanised insulation surface for H/W</t>
  </si>
  <si>
    <t>Rubber Lining solvent cleaning spacer bellow bonding</t>
  </si>
  <si>
    <t>Rubber Lining of rubber sheet with carbon cloth</t>
  </si>
  <si>
    <t>3220014253</t>
  </si>
  <si>
    <t xml:space="preserve"> Motor Casing Assembly with liner-VLSRSAM</t>
  </si>
  <si>
    <t>T0+4months</t>
  </si>
  <si>
    <t>Head End Cover-VLSRSAM</t>
  </si>
  <si>
    <t>Igniter Canister Lining  Assembly-VLSRSAM</t>
  </si>
  <si>
    <t>Nozzle Convergent  Blast Tube Assembly-VLSRSAM</t>
  </si>
  <si>
    <t>Nozzle Divergent  Assembly-VLSRSAM</t>
  </si>
  <si>
    <t>Skyroot</t>
  </si>
  <si>
    <t>UA241-00002</t>
  </si>
  <si>
    <t>Rocasin rubber sheet 2mm thk uncured</t>
  </si>
  <si>
    <t>SDSC SHAR/SMPC-U2 PURCHASE/SH2024P000360103</t>
  </si>
  <si>
    <t>supply of 2mm thick extruded Rocasin Rubber Sheet -SPP</t>
  </si>
  <si>
    <t>supply of 1mm thick extruded Rocasin Rubber Sheet -SPP</t>
  </si>
  <si>
    <t>GEMC-511687721732349</t>
  </si>
  <si>
    <t>Un Vulcanized rocasin Rubber sheet</t>
  </si>
  <si>
    <t>SKYROOT</t>
  </si>
  <si>
    <t>AJ253-0032</t>
  </si>
  <si>
    <t>Raman-I thrust chamber Assy</t>
  </si>
  <si>
    <t xml:space="preserve">Skyroot </t>
  </si>
  <si>
    <t>AJ247-00004</t>
  </si>
  <si>
    <t>VK1 Retro Motor Nozzle assembly</t>
  </si>
  <si>
    <t>Hemrl</t>
  </si>
  <si>
    <t>HEMRL/26GM0681/SRP-III/GN/GEM</t>
  </si>
  <si>
    <t>Sleeve for Control Mould as per spec</t>
  </si>
  <si>
    <t>Unit-1</t>
  </si>
  <si>
    <t>VSSC</t>
  </si>
  <si>
    <t>5562 2024P044700101 | LO</t>
  </si>
  <si>
    <t>Filment wound product decelopment and fabrication of composite by random fiber compression moulding process</t>
  </si>
  <si>
    <t>Intimation+60 Days</t>
  </si>
  <si>
    <t>Unit-1A</t>
  </si>
  <si>
    <t>Filment wound product decelopment and fabrication of composite by zero degree tape winding autoclave process</t>
  </si>
  <si>
    <t>Filment wound product moulding /winding tool assembly</t>
  </si>
  <si>
    <t xml:space="preserve">Aditya </t>
  </si>
  <si>
    <t>PO/25-26/1862</t>
  </si>
  <si>
    <t>Prop Travel Holder</t>
  </si>
  <si>
    <t>Antena Test Window</t>
  </si>
  <si>
    <t>GPS Window</t>
  </si>
  <si>
    <t>Cannister Front Lid</t>
  </si>
  <si>
    <t>Pusher Cylinder External</t>
  </si>
  <si>
    <t>Push Pole tube</t>
  </si>
  <si>
    <t>DRDL/9180/21/15K/2022/1989/2037P</t>
  </si>
  <si>
    <t>manfacturing and supply of Thermal Ptotection Dome( TP Dome</t>
  </si>
  <si>
    <t>Unit-2</t>
  </si>
  <si>
    <t>PGAD/TD-RCI/AM/23-24/K-15(B1)/50075</t>
  </si>
  <si>
    <t>Manfacturing and supply of B1 Flex Nozzle Assembly</t>
  </si>
  <si>
    <t>PGAD/TD-RCI/AM/23-24/K-15(B2)/50074</t>
  </si>
  <si>
    <t>Manfacturing and supply of B2 Flex Nozzle Assembly</t>
  </si>
  <si>
    <t>DRDL/9673/21/HSABV/2024/0010/0005</t>
  </si>
  <si>
    <t>B1 FNS METALLIC CONTAINER WITH VIBRATION PADS</t>
  </si>
  <si>
    <t>RCI/25AT0117/RM2/RUDRAM-2/CMS-II</t>
  </si>
  <si>
    <t>R167 Nozzle Casing with Thermal insulation</t>
  </si>
  <si>
    <t xml:space="preserve">Godrej </t>
  </si>
  <si>
    <t>1900/1DR043479/JS9000195</t>
  </si>
  <si>
    <t>M2B Nozzle wid Divergent Liner</t>
  </si>
  <si>
    <t>FIM+30Days</t>
  </si>
  <si>
    <t>1900/1DR043479/JS9000196</t>
  </si>
  <si>
    <t>LS KV NOZZLE WITH Divergent</t>
  </si>
  <si>
    <t>1900/1DR043479/JS9000190</t>
  </si>
  <si>
    <t>PEL</t>
  </si>
  <si>
    <t>SPD_4768</t>
  </si>
  <si>
    <t>Nozzle End Assy -306</t>
  </si>
  <si>
    <t>SPD_4767</t>
  </si>
  <si>
    <t>Nozzle Assembly 240</t>
  </si>
  <si>
    <t>flex seal including proof pressure testing</t>
  </si>
  <si>
    <t>Flex seal with thermal boot assembly</t>
  </si>
  <si>
    <t>SPD_4979</t>
  </si>
  <si>
    <t>RMNEA 240 Nozzle Assembly Y-240</t>
  </si>
  <si>
    <t>TATA</t>
  </si>
  <si>
    <t xml:space="preserve">MRSAM-Jet Deflector with coating assembly </t>
  </si>
  <si>
    <t>Walchand</t>
  </si>
  <si>
    <t>WACPL/RAPS/PREPREG/017/2025-26</t>
  </si>
  <si>
    <t>Impregnation Rayon Based Carbon fabric with Phenolic resin</t>
  </si>
  <si>
    <t>Impregnation High Silica  fabric with Phenolic resin</t>
  </si>
  <si>
    <t>SOLAR</t>
  </si>
  <si>
    <t xml:space="preserve">E - GLASS &amp; D 356 X 1730 MM </t>
  </si>
  <si>
    <t>manufacturing and supply of Flex Nozzle assembly including integration</t>
  </si>
  <si>
    <t>MANFACTURING &amp; SUPPLY OF B1 FNS ASSEMBLY INCUDING FLEX SEAL AND NOZZLE INTEGRATION</t>
  </si>
  <si>
    <t>Oka Basu</t>
  </si>
  <si>
    <t>OMBT/RAPS-03/26-27</t>
  </si>
  <si>
    <t>Carbon  components</t>
  </si>
  <si>
    <t>DRDL</t>
  </si>
  <si>
    <t>DRDL/PGLRSAM/1701/31P/26/432/0488</t>
  </si>
  <si>
    <t>M1 POTABLE JET DEFLECTOR 60T WITH COMPRESSION MOULED ROSETTE GPH</t>
  </si>
  <si>
    <t>Glass Phenolic for Jet Deflector (M1)</t>
  </si>
  <si>
    <t>FIM+1 month</t>
  </si>
  <si>
    <t>AJ23N-00001</t>
  </si>
  <si>
    <t>S2 Nozzle Assembly ( Flight)</t>
  </si>
  <si>
    <t>Unit-3</t>
  </si>
  <si>
    <t>DRDL/9348/21/15K/2022/2051/2117P</t>
  </si>
  <si>
    <t>Manufacturing &amp; Supply of B1 FNS Assembly Including Flex Seal</t>
  </si>
  <si>
    <t>Manufacturing &amp; Supply of B2 FNS Assembly Including Flex Seal</t>
  </si>
  <si>
    <t>Aditya</t>
  </si>
  <si>
    <t>PO/24-25/0291</t>
  </si>
  <si>
    <t>Lining of Motor Casing-P197</t>
  </si>
  <si>
    <t>30+FIM</t>
  </si>
  <si>
    <t>Lining of Nozzele--P197</t>
  </si>
  <si>
    <t>BEML</t>
  </si>
  <si>
    <t>P1 MOTOR WITH LINER</t>
  </si>
  <si>
    <t>P2 MOTOR WITH LINER</t>
  </si>
  <si>
    <t>LS KV NOZZLE WITH LINER ASSY</t>
  </si>
  <si>
    <t>SUPPORT GRID WITH LINER</t>
  </si>
  <si>
    <t>PSD WITH LINER</t>
  </si>
  <si>
    <t>KV DOME WITH LINER</t>
  </si>
  <si>
    <t>PC TUBE WITH LINER</t>
  </si>
  <si>
    <t>SP 16 RING (SG)</t>
  </si>
  <si>
    <t>EPDM COVER</t>
  </si>
  <si>
    <t>AJ241-00003</t>
  </si>
  <si>
    <t>VK-1 S3 FLEX NOZZLE ASSEMBLY</t>
  </si>
  <si>
    <t>DRDL/26AT0045/VL-SRSAM/ 78/ DOMR / 78469</t>
  </si>
  <si>
    <t>EPDM Lining of Rocket Motor Casing &amp; Nozzle)-ADP</t>
  </si>
  <si>
    <t>Unit-4</t>
  </si>
  <si>
    <t>ASL/DD2/R/DD23/0133/20/2505/2573</t>
  </si>
  <si>
    <t>Rocasin Rubber Lining on S1C Intermediate Dome And Machining</t>
  </si>
  <si>
    <t>B213 2023P063270101I LO</t>
  </si>
  <si>
    <t>EPDM-Non Metallic Bellow</t>
  </si>
  <si>
    <t>1710 2023P04820101 I LO</t>
  </si>
  <si>
    <t>Development /Trail Batch S200 Thermal Boot</t>
  </si>
  <si>
    <t>Clearance + 180 Days</t>
  </si>
  <si>
    <t>Production Batch of S200 Thermal Boots</t>
  </si>
  <si>
    <t>UC24D-00002</t>
  </si>
  <si>
    <t>S3 Igniter Insulation Boot</t>
  </si>
  <si>
    <t>DRDL/9615/21/15K/2024/2146/2184P</t>
  </si>
  <si>
    <t>Base Dome-1&amp; Base Dome-2 for Thermal Lining</t>
  </si>
  <si>
    <t>AJ24N-00003</t>
  </si>
  <si>
    <t xml:space="preserve">02A-03-AB1-000- S3 NOZZLE SUBMERGED SUB ASSEMBLY- </t>
  </si>
  <si>
    <t xml:space="preserve">Brahmos </t>
  </si>
  <si>
    <t>SODEL/0008/2425</t>
  </si>
  <si>
    <t>PJ10_321-01-01-00-00, B2 Shel Assy With liner</t>
  </si>
  <si>
    <t>PJ10_321-03-01-01-01, B1 outer Shel Assy With EPDM liner</t>
  </si>
  <si>
    <t>PJ10_321-02-01-00-00, Dome with liner</t>
  </si>
  <si>
    <t>DOSP/SPD/PJ10/SK-321-01,HTM Nozzle End Assy</t>
  </si>
  <si>
    <t>PJ10_321-03-01-04-00, B1 Inner shell assy with liner</t>
  </si>
  <si>
    <t>DOSP/SPD/PJ10/SK-321-02,LTM Nozzle End Assy</t>
  </si>
  <si>
    <t>PODEL/00316/24-25</t>
  </si>
  <si>
    <t>PJ10_321-02-02-00-00, HTM Igniter Assembly</t>
  </si>
  <si>
    <t>521B 2024po50570101! LO</t>
  </si>
  <si>
    <t>Filment wound Product Fabrication of Cryotank</t>
  </si>
  <si>
    <t>UC259-00022</t>
  </si>
  <si>
    <t>S1 Igniter Insulation Boot</t>
  </si>
  <si>
    <t>UC259-00023</t>
  </si>
  <si>
    <t>vk1 s2 igniter insulation boot</t>
  </si>
  <si>
    <t>UC259-00024</t>
  </si>
  <si>
    <t>drdl/24/08P/25/0197/43875/dosrp</t>
  </si>
  <si>
    <t>Lining of CC 180rocket motor casing and nozzle assembly</t>
  </si>
  <si>
    <t>PDC EXT. REQUEST SENT TILL 31-08-26</t>
  </si>
  <si>
    <t>Motor with Liner-QRSAM</t>
  </si>
  <si>
    <t>FMI+4 months</t>
  </si>
  <si>
    <t>Motor Casing Assembly-QRSAM</t>
  </si>
  <si>
    <t>Nozzle with Divergent-QRSAM</t>
  </si>
  <si>
    <t>ICOMM</t>
  </si>
  <si>
    <t>DEF/D/PO/25-26/0946</t>
  </si>
  <si>
    <t>Booster motor casing with liner</t>
  </si>
  <si>
    <t>Booster Nozzle casing with liner assembly</t>
  </si>
  <si>
    <t>Booster Igniter Mount with  liner assembly</t>
  </si>
  <si>
    <t>Booster canister with  liner assembly</t>
  </si>
  <si>
    <t>Sustiner Nozzle casing with liners Assembly</t>
  </si>
  <si>
    <t>Booster Igniter Mount with  liner assembly-1</t>
  </si>
  <si>
    <t>Booster canister with  liner assembly-1</t>
  </si>
  <si>
    <t>Sustiner motor casing with liners refurbishement</t>
  </si>
  <si>
    <t xml:space="preserve">Adani </t>
  </si>
  <si>
    <t>Removal of Old Liner and refurbishment of Sustainer motor casing and EPDM lining of sustainer motors</t>
  </si>
  <si>
    <t xml:space="preserve">Removal of Old Liner &amp; refurbishment of Booster motor &amp; EPDM Lining </t>
  </si>
  <si>
    <t>RCI/27AT0004/SF VSH/GN/CMS-II</t>
  </si>
  <si>
    <t>Lining of SFVSH rocket motor  assembly</t>
  </si>
  <si>
    <t>PGAD/77410/01/LPC/26-27/0440</t>
  </si>
  <si>
    <t>Old Rocasin Rubber Removal from Motor Case</t>
  </si>
  <si>
    <t>BEL</t>
  </si>
  <si>
    <t>EPDM Rubber Lining of Pralay Motors</t>
  </si>
  <si>
    <t>FIM+2 months</t>
  </si>
  <si>
    <t>Removal &amp; Application of LRSAM Liner-P1 &amp; P2 Motor</t>
  </si>
  <si>
    <t>Brahmos</t>
  </si>
  <si>
    <t>SCOHYD/26-27/4027</t>
  </si>
  <si>
    <t>DRDL/9927/21/15K/2025/2216/2259P</t>
  </si>
  <si>
    <t>LTB CASING ASSY WITH LINER &amp; NE GRID</t>
  </si>
  <si>
    <t>LTB HEAD END ASSEMBLY WITH LINER</t>
  </si>
  <si>
    <t>DRDL/25AT0034/ET-LDHCM/75/DOMR</t>
  </si>
  <si>
    <t>Manufacturring and supply of H1 FNS Assembly including Flex Seal and nozzle Integration</t>
  </si>
  <si>
    <t>Unit-5</t>
  </si>
  <si>
    <t>DRDL/8816/21/15F/2021/0714/0889F</t>
  </si>
  <si>
    <t>Manfacturing of S1 CRMC</t>
  </si>
  <si>
    <t>SCOHYD/24-25/0008</t>
  </si>
  <si>
    <t>SK 341 CANSISTER MARK-IV</t>
  </si>
  <si>
    <t>PGAD/7741/01/FE/24-25/0105/41958</t>
  </si>
  <si>
    <t>Composite Rocket Motor Casing with EPDM Liner for P191</t>
  </si>
  <si>
    <t>NSTL</t>
  </si>
  <si>
    <t>NSTL/26AT0047/GN/CMS-III/LP-I/25-26/LP-1/4059</t>
  </si>
  <si>
    <t>manufacture and supply of Dia 380*2700mm long composite shell assembly with containers for air droppable containers</t>
  </si>
  <si>
    <t>launchtube assembly forMPATGM</t>
  </si>
  <si>
    <t>DRDL/10003/21/15F/2025/1135/1063F</t>
  </si>
  <si>
    <t>MANFACTURING AND SUPPLY OF S2  CRMC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</si>
</sst>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[$-14009]dd/mm/yy;@"/>
    <numFmt numFmtId="166" formatCode="_ * #,##0_ ;_ * \-#,##0_ ;_ * &quot;-&quot;??_ ;_ @_ "/>
    <numFmt numFmtId="167" formatCode="_ * #,##0.0_ ;_ * \-#,##0.0_ ;_ * &quot;-&quot;??_ ;_ @_ "/>
    <numFmt numFmtId="168" formatCode="[$-14009]d/m/yy;@"/>
    <numFmt numFmtId="169" formatCode="_ * #,##0.0_ ;_ * \-#,##0.0_ ;_ * &quot;-&quot;?_ ;_ @_ "/>
    <numFmt numFmtId="170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8"/>
      <color theme="1"/>
      <name val="Aptos Narrow"/>
      <family val="2"/>
    </font>
    <font>
      <sz val="11"/>
      <color theme="1"/>
      <name val="Aptos Narrow"/>
      <family val="2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11"/>
      <name val="Aptos Narrow"/>
      <family val="2"/>
    </font>
    <font>
      <sz val="8"/>
      <name val="Aptos Narrow"/>
      <family val="2"/>
    </font>
    <font>
      <sz val="11"/>
      <color rgb="FFFF0000"/>
      <name val="Aptos Narrow"/>
      <family val="2"/>
    </font>
    <font>
      <sz val="10"/>
      <name val="Aptos Narrow"/>
      <family val="2"/>
    </font>
    <font>
      <b/>
      <sz val="11"/>
      <name val="Aptos Narrow"/>
      <family val="2"/>
    </font>
    <font>
      <sz val="8"/>
      <color rgb="FFFF0000"/>
      <name val="Aptos Narrow"/>
      <family val="2"/>
    </font>
    <font>
      <sz val="10"/>
      <color theme="1"/>
      <name val="Aptos Narrow"/>
      <family val="2"/>
    </font>
    <font>
      <b/>
      <sz val="10"/>
      <name val="Aptos Narrow"/>
      <family val="2"/>
    </font>
    <font>
      <sz val="10"/>
      <color rgb="FFFF0000"/>
      <name val="Aptos Narrow"/>
      <family val="2"/>
    </font>
    <font>
      <sz val="9"/>
      <name val="Aptos Narrow"/>
      <family val="2"/>
    </font>
    <font>
      <sz val="8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5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65" fontId="3" fillId="4" borderId="5" xfId="0" applyNumberFormat="1" applyFont="1" applyFill="1" applyBorder="1" applyAlignment="1">
      <alignment horizontal="center" vertical="center" wrapText="1"/>
    </xf>
    <xf numFmtId="17" fontId="5" fillId="4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left" vertical="center"/>
    </xf>
    <xf numFmtId="165" fontId="8" fillId="0" borderId="5" xfId="0" applyNumberFormat="1" applyFont="1" applyBorder="1" applyAlignment="1">
      <alignment horizontal="left" vertical="center"/>
    </xf>
    <xf numFmtId="166" fontId="7" fillId="0" borderId="5" xfId="1" applyNumberFormat="1" applyFont="1" applyFill="1" applyBorder="1" applyAlignment="1">
      <alignment horizontal="center" vertical="center"/>
    </xf>
    <xf numFmtId="167" fontId="7" fillId="0" borderId="5" xfId="1" applyNumberFormat="1" applyFont="1" applyFill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/>
    <xf numFmtId="0" fontId="7" fillId="0" borderId="5" xfId="0" applyFont="1" applyBorder="1"/>
    <xf numFmtId="0" fontId="7" fillId="3" borderId="5" xfId="0" applyFont="1" applyFill="1" applyBorder="1"/>
    <xf numFmtId="0" fontId="7" fillId="0" borderId="0" xfId="0" applyFont="1"/>
    <xf numFmtId="0" fontId="8" fillId="0" borderId="5" xfId="0" quotePrefix="1" applyFont="1" applyBorder="1" applyAlignment="1">
      <alignment horizontal="left" vertical="center" wrapText="1"/>
    </xf>
    <xf numFmtId="165" fontId="8" fillId="0" borderId="5" xfId="0" applyNumberFormat="1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166" fontId="10" fillId="0" borderId="5" xfId="1" applyNumberFormat="1" applyFont="1" applyFill="1" applyBorder="1" applyAlignment="1">
      <alignment horizontal="center" vertical="center"/>
    </xf>
    <xf numFmtId="168" fontId="10" fillId="0" borderId="5" xfId="0" applyNumberFormat="1" applyFont="1" applyBorder="1" applyAlignment="1">
      <alignment horizontal="left" vertical="center"/>
    </xf>
    <xf numFmtId="0" fontId="10" fillId="0" borderId="5" xfId="2" applyNumberFormat="1" applyFont="1" applyFill="1" applyBorder="1" applyAlignment="1">
      <alignment horizontal="left" vertical="center" wrapText="1"/>
    </xf>
    <xf numFmtId="167" fontId="10" fillId="0" borderId="5" xfId="1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3" borderId="5" xfId="0" applyFont="1" applyFill="1" applyBorder="1"/>
    <xf numFmtId="166" fontId="7" fillId="0" borderId="5" xfId="1" applyNumberFormat="1" applyFont="1" applyFill="1" applyBorder="1" applyAlignment="1">
      <alignment horizontal="center" vertical="center" wrapText="1"/>
    </xf>
    <xf numFmtId="0" fontId="7" fillId="5" borderId="5" xfId="0" applyFont="1" applyFill="1" applyBorder="1"/>
    <xf numFmtId="0" fontId="9" fillId="0" borderId="5" xfId="0" applyFont="1" applyBorder="1" applyAlignment="1">
      <alignment horizontal="right"/>
    </xf>
    <xf numFmtId="0" fontId="7" fillId="0" borderId="5" xfId="0" quotePrefix="1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165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7" fillId="0" borderId="5" xfId="2" applyNumberFormat="1" applyFont="1" applyFill="1" applyBorder="1" applyAlignment="1">
      <alignment horizontal="left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169" fontId="7" fillId="0" borderId="5" xfId="0" applyNumberFormat="1" applyFont="1" applyBorder="1"/>
    <xf numFmtId="0" fontId="7" fillId="0" borderId="5" xfId="0" applyFont="1" applyBorder="1" applyAlignment="1">
      <alignment horizontal="left" vertical="center"/>
    </xf>
    <xf numFmtId="0" fontId="9" fillId="0" borderId="0" xfId="0" applyFont="1"/>
    <xf numFmtId="0" fontId="11" fillId="0" borderId="5" xfId="0" applyFont="1" applyBorder="1"/>
    <xf numFmtId="0" fontId="11" fillId="0" borderId="0" xfId="0" applyFont="1"/>
    <xf numFmtId="168" fontId="7" fillId="0" borderId="5" xfId="0" applyNumberFormat="1" applyFont="1" applyBorder="1" applyAlignment="1">
      <alignment horizontal="left" vertical="center"/>
    </xf>
    <xf numFmtId="168" fontId="9" fillId="0" borderId="5" xfId="0" applyNumberFormat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165" fontId="12" fillId="0" borderId="5" xfId="0" applyNumberFormat="1" applyFont="1" applyBorder="1" applyAlignment="1">
      <alignment horizontal="left" vertical="center"/>
    </xf>
    <xf numFmtId="0" fontId="9" fillId="0" borderId="5" xfId="2" applyNumberFormat="1" applyFont="1" applyFill="1" applyBorder="1" applyAlignment="1">
      <alignment horizontal="left" vertical="center" wrapText="1"/>
    </xf>
    <xf numFmtId="166" fontId="9" fillId="0" borderId="5" xfId="1" applyNumberFormat="1" applyFont="1" applyFill="1" applyBorder="1" applyAlignment="1">
      <alignment horizontal="center" vertical="center"/>
    </xf>
    <xf numFmtId="167" fontId="9" fillId="0" borderId="5" xfId="1" applyNumberFormat="1" applyFont="1" applyFill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3" borderId="5" xfId="0" applyFont="1" applyFill="1" applyBorder="1"/>
    <xf numFmtId="14" fontId="10" fillId="0" borderId="5" xfId="0" applyNumberFormat="1" applyFont="1" applyBorder="1" applyAlignment="1">
      <alignment horizontal="center" vertical="center"/>
    </xf>
    <xf numFmtId="0" fontId="10" fillId="0" borderId="0" xfId="0" applyFont="1"/>
    <xf numFmtId="0" fontId="11" fillId="3" borderId="5" xfId="0" applyFont="1" applyFill="1" applyBorder="1"/>
    <xf numFmtId="0" fontId="10" fillId="0" borderId="5" xfId="0" quotePrefix="1" applyFont="1" applyBorder="1" applyAlignment="1">
      <alignment horizontal="left" vertical="center" wrapText="1"/>
    </xf>
    <xf numFmtId="166" fontId="10" fillId="0" borderId="5" xfId="1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right"/>
    </xf>
    <xf numFmtId="164" fontId="10" fillId="3" borderId="5" xfId="0" applyNumberFormat="1" applyFont="1" applyFill="1" applyBorder="1"/>
    <xf numFmtId="164" fontId="10" fillId="0" borderId="5" xfId="0" applyNumberFormat="1" applyFont="1" applyBorder="1"/>
    <xf numFmtId="0" fontId="14" fillId="0" borderId="5" xfId="0" applyFont="1" applyBorder="1"/>
    <xf numFmtId="0" fontId="14" fillId="0" borderId="0" xfId="0" applyFont="1"/>
    <xf numFmtId="0" fontId="14" fillId="0" borderId="5" xfId="0" quotePrefix="1" applyFont="1" applyBorder="1" applyAlignment="1">
      <alignment horizontal="left" vertical="center"/>
    </xf>
    <xf numFmtId="0" fontId="14" fillId="3" borderId="5" xfId="0" applyFont="1" applyFill="1" applyBorder="1"/>
    <xf numFmtId="0" fontId="10" fillId="0" borderId="5" xfId="0" applyFont="1" applyBorder="1" applyAlignment="1">
      <alignment horizontal="left" vertical="center"/>
    </xf>
    <xf numFmtId="0" fontId="10" fillId="5" borderId="5" xfId="0" applyFont="1" applyFill="1" applyBorder="1"/>
    <xf numFmtId="14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15" fillId="0" borderId="5" xfId="0" applyFont="1" applyBorder="1"/>
    <xf numFmtId="0" fontId="15" fillId="0" borderId="5" xfId="0" applyFont="1" applyBorder="1" applyAlignment="1">
      <alignment horizontal="right"/>
    </xf>
    <xf numFmtId="164" fontId="10" fillId="3" borderId="5" xfId="1" applyFont="1" applyFill="1" applyBorder="1"/>
    <xf numFmtId="166" fontId="10" fillId="0" borderId="5" xfId="1" applyNumberFormat="1" applyFont="1" applyFill="1" applyBorder="1"/>
    <xf numFmtId="14" fontId="8" fillId="0" borderId="5" xfId="0" quotePrefix="1" applyNumberFormat="1" applyFont="1" applyBorder="1" applyAlignment="1">
      <alignment horizontal="left" vertical="center"/>
    </xf>
    <xf numFmtId="165" fontId="8" fillId="0" borderId="5" xfId="0" quotePrefix="1" applyNumberFormat="1" applyFont="1" applyBorder="1" applyAlignment="1">
      <alignment horizontal="left" vertical="center"/>
    </xf>
    <xf numFmtId="0" fontId="10" fillId="5" borderId="5" xfId="0" applyFont="1" applyFill="1" applyBorder="1" applyAlignment="1">
      <alignment horizontal="right"/>
    </xf>
    <xf numFmtId="168" fontId="10" fillId="0" borderId="5" xfId="0" applyNumberFormat="1" applyFont="1" applyBorder="1" applyAlignment="1">
      <alignment horizontal="left" vertical="center" wrapText="1"/>
    </xf>
    <xf numFmtId="0" fontId="13" fillId="5" borderId="5" xfId="0" applyFont="1" applyFill="1" applyBorder="1" applyAlignment="1">
      <alignment horizontal="right"/>
    </xf>
    <xf numFmtId="166" fontId="10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0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5" fillId="0" borderId="5" xfId="0" applyFont="1" applyBorder="1" applyAlignment="1">
      <alignment horizontal="right" vertical="center"/>
    </xf>
    <xf numFmtId="0" fontId="10" fillId="3" borderId="5" xfId="0" applyFont="1" applyFill="1" applyBorder="1" applyAlignment="1">
      <alignment vertical="center"/>
    </xf>
    <xf numFmtId="0" fontId="15" fillId="0" borderId="5" xfId="0" applyFont="1" applyBorder="1" applyAlignment="1">
      <alignment horizontal="left" vertical="center" wrapText="1"/>
    </xf>
    <xf numFmtId="14" fontId="8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right"/>
    </xf>
    <xf numFmtId="0" fontId="10" fillId="0" borderId="5" xfId="0" applyFont="1" applyBorder="1" applyAlignment="1">
      <alignment wrapText="1"/>
    </xf>
    <xf numFmtId="0" fontId="16" fillId="0" borderId="5" xfId="2" applyNumberFormat="1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/>
    </xf>
    <xf numFmtId="166" fontId="2" fillId="6" borderId="5" xfId="1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166" fontId="2" fillId="6" borderId="7" xfId="1" applyNumberFormat="1" applyFont="1" applyFill="1" applyBorder="1"/>
    <xf numFmtId="166" fontId="2" fillId="6" borderId="8" xfId="1" applyNumberFormat="1" applyFont="1" applyFill="1" applyBorder="1"/>
    <xf numFmtId="166" fontId="2" fillId="6" borderId="9" xfId="1" applyNumberFormat="1" applyFont="1" applyFill="1" applyBorder="1"/>
    <xf numFmtId="0" fontId="4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0" fontId="4" fillId="3" borderId="0" xfId="0" applyFont="1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3">
    <cellStyle name="Comma" xfId="1" builtinId="3"/>
    <cellStyle name="Comma 2 4 3" xfId="2" xr:uid="{2EDE4E46-EB88-46C4-AE8E-34683849425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84C1-1703-46FA-B69D-CB65237E1EA1}">
  <dimension ref="A1:W184"/>
  <sheetViews>
    <sheetView tabSelected="1" topLeftCell="D1" zoomScale="115" zoomScaleNormal="115" zoomScaleSheetLayoutView="115" workbookViewId="0">
      <pane ySplit="2" topLeftCell="A35" activePane="bottomLeft" state="frozen"/>
      <selection activeCell="BM47" sqref="BM47"/>
      <selection pane="bottomLeft" activeCell="J2" sqref="J2"/>
    </sheetView>
  </sheetViews>
  <sheetFormatPr defaultColWidth="8.88671875" defaultRowHeight="14.4" x14ac:dyDescent="0.3"/>
  <cols>
    <col min="1" max="1" width="9.109375" style="112" customWidth="1"/>
    <col min="2" max="2" width="34" style="113" bestFit="1" customWidth="1"/>
    <col min="3" max="3" width="8.109375" style="114" bestFit="1" customWidth="1"/>
    <col min="4" max="4" width="49.77734375" style="112" bestFit="1" customWidth="1"/>
    <col min="5" max="5" width="7.33203125" style="6" bestFit="1" customWidth="1"/>
    <col min="6" max="6" width="8.5546875" style="6" customWidth="1"/>
    <col min="7" max="7" width="9.109375" style="6" customWidth="1"/>
    <col min="8" max="8" width="12.33203125" style="6" customWidth="1"/>
    <col min="9" max="9" width="9" style="7" bestFit="1" customWidth="1"/>
    <col min="10" max="10" width="7" style="8" customWidth="1"/>
    <col min="11" max="11" width="7.44140625" style="8" customWidth="1"/>
    <col min="12" max="12" width="8.77734375" style="115" customWidth="1"/>
    <col min="13" max="13" width="10.33203125" style="8" customWidth="1"/>
    <col min="14" max="14" width="11.44140625" style="8" customWidth="1"/>
    <col min="15" max="15" width="6.77734375" style="8" customWidth="1"/>
    <col min="16" max="16" width="6.5546875" style="8" customWidth="1"/>
    <col min="17" max="17" width="7.109375" style="8" customWidth="1"/>
    <col min="18" max="18" width="6.77734375" style="8" customWidth="1"/>
    <col min="19" max="19" width="6.44140625" style="8" customWidth="1"/>
    <col min="20" max="20" width="6.6640625" style="8" customWidth="1"/>
    <col min="21" max="21" width="7.109375" style="8" customWidth="1"/>
    <col min="22" max="22" width="7.6640625" style="8" customWidth="1"/>
    <col min="23" max="23" width="25.6640625" style="8" customWidth="1"/>
    <col min="24" max="16384" width="8.88671875" style="8"/>
  </cols>
  <sheetData>
    <row r="1" spans="1:23" x14ac:dyDescent="0.3">
      <c r="A1" s="1"/>
      <c r="B1" s="2"/>
      <c r="C1" s="3"/>
      <c r="D1" s="4"/>
      <c r="E1" s="5"/>
      <c r="J1" s="116"/>
      <c r="K1" s="117"/>
      <c r="L1" s="118"/>
      <c r="M1" s="117"/>
      <c r="N1" s="117"/>
      <c r="O1" s="117"/>
      <c r="P1" s="117"/>
      <c r="Q1" s="117"/>
      <c r="R1" s="117"/>
      <c r="S1" s="117"/>
      <c r="T1" s="117"/>
      <c r="U1" s="117"/>
      <c r="V1" s="119"/>
    </row>
    <row r="2" spans="1:23" s="13" customFormat="1" ht="20.399999999999999" customHeight="1" x14ac:dyDescent="0.3">
      <c r="A2" s="9" t="s">
        <v>0</v>
      </c>
      <c r="B2" s="10" t="s">
        <v>1</v>
      </c>
      <c r="C2" s="11" t="s">
        <v>2</v>
      </c>
      <c r="D2" s="9" t="s">
        <v>3</v>
      </c>
      <c r="E2" s="9" t="s">
        <v>4</v>
      </c>
      <c r="F2" s="12" t="s">
        <v>5</v>
      </c>
      <c r="G2" s="9" t="s">
        <v>6</v>
      </c>
      <c r="H2" s="9" t="s">
        <v>7</v>
      </c>
      <c r="I2" s="9" t="s">
        <v>8</v>
      </c>
      <c r="J2" s="9" t="s">
        <v>10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9"/>
    </row>
    <row r="3" spans="1:23" s="24" customFormat="1" x14ac:dyDescent="0.3">
      <c r="A3" s="14" t="s">
        <v>11</v>
      </c>
      <c r="B3" s="15" t="s">
        <v>12</v>
      </c>
      <c r="C3" s="16">
        <v>45463</v>
      </c>
      <c r="D3" s="14" t="s">
        <v>13</v>
      </c>
      <c r="E3" s="17">
        <v>4</v>
      </c>
      <c r="F3" s="18">
        <v>0</v>
      </c>
      <c r="G3" s="18">
        <f t="shared" ref="G3:G66" si="0">E3-F3</f>
        <v>4</v>
      </c>
      <c r="H3" s="19">
        <v>46748</v>
      </c>
      <c r="I3" s="20" t="s">
        <v>14</v>
      </c>
      <c r="J3" s="21"/>
      <c r="K3" s="22"/>
      <c r="L3" s="2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s="24" customFormat="1" x14ac:dyDescent="0.3">
      <c r="A4" s="14" t="s">
        <v>11</v>
      </c>
      <c r="B4" s="15" t="s">
        <v>12</v>
      </c>
      <c r="C4" s="16">
        <v>45463</v>
      </c>
      <c r="D4" s="14" t="s">
        <v>15</v>
      </c>
      <c r="E4" s="17">
        <v>4</v>
      </c>
      <c r="F4" s="18">
        <v>1</v>
      </c>
      <c r="G4" s="18">
        <f t="shared" si="0"/>
        <v>3</v>
      </c>
      <c r="H4" s="19">
        <v>46748</v>
      </c>
      <c r="I4" s="20" t="s">
        <v>14</v>
      </c>
      <c r="J4" s="21"/>
      <c r="K4" s="22"/>
      <c r="L4" s="23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s="24" customFormat="1" ht="28.8" x14ac:dyDescent="0.3">
      <c r="A5" s="14" t="s">
        <v>11</v>
      </c>
      <c r="B5" s="15" t="s">
        <v>12</v>
      </c>
      <c r="C5" s="16">
        <v>45463</v>
      </c>
      <c r="D5" s="14" t="s">
        <v>16</v>
      </c>
      <c r="E5" s="17">
        <v>4</v>
      </c>
      <c r="F5" s="18">
        <v>0</v>
      </c>
      <c r="G5" s="18">
        <f t="shared" si="0"/>
        <v>4</v>
      </c>
      <c r="H5" s="19">
        <v>46748</v>
      </c>
      <c r="I5" s="20" t="s">
        <v>14</v>
      </c>
      <c r="J5" s="22"/>
      <c r="K5" s="22"/>
      <c r="L5" s="2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s="24" customFormat="1" x14ac:dyDescent="0.3">
      <c r="A6" s="14" t="s">
        <v>11</v>
      </c>
      <c r="B6" s="15" t="s">
        <v>12</v>
      </c>
      <c r="C6" s="16">
        <v>45463</v>
      </c>
      <c r="D6" s="14" t="s">
        <v>17</v>
      </c>
      <c r="E6" s="17">
        <v>4</v>
      </c>
      <c r="F6" s="18">
        <v>0</v>
      </c>
      <c r="G6" s="18">
        <f t="shared" si="0"/>
        <v>4</v>
      </c>
      <c r="H6" s="19">
        <v>46748</v>
      </c>
      <c r="I6" s="20" t="s">
        <v>14</v>
      </c>
      <c r="J6" s="22"/>
      <c r="K6" s="22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s="24" customFormat="1" x14ac:dyDescent="0.3">
      <c r="A7" s="14" t="s">
        <v>11</v>
      </c>
      <c r="B7" s="15" t="s">
        <v>12</v>
      </c>
      <c r="C7" s="16">
        <v>45463</v>
      </c>
      <c r="D7" s="14" t="s">
        <v>18</v>
      </c>
      <c r="E7" s="17">
        <v>4</v>
      </c>
      <c r="F7" s="18">
        <v>0</v>
      </c>
      <c r="G7" s="18">
        <f t="shared" si="0"/>
        <v>4</v>
      </c>
      <c r="H7" s="19">
        <v>46748</v>
      </c>
      <c r="I7" s="20" t="s">
        <v>14</v>
      </c>
      <c r="J7" s="22"/>
      <c r="K7" s="22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s="24" customFormat="1" x14ac:dyDescent="0.3">
      <c r="A8" s="14" t="s">
        <v>11</v>
      </c>
      <c r="B8" s="15" t="s">
        <v>12</v>
      </c>
      <c r="C8" s="16">
        <v>45463</v>
      </c>
      <c r="D8" s="14" t="s">
        <v>19</v>
      </c>
      <c r="E8" s="17">
        <v>4</v>
      </c>
      <c r="F8" s="18">
        <v>0</v>
      </c>
      <c r="G8" s="18">
        <f t="shared" si="0"/>
        <v>4</v>
      </c>
      <c r="H8" s="19">
        <v>46748</v>
      </c>
      <c r="I8" s="20" t="s">
        <v>14</v>
      </c>
      <c r="J8" s="22"/>
      <c r="K8" s="22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s="24" customFormat="1" ht="16.8" customHeight="1" x14ac:dyDescent="0.3">
      <c r="A9" s="14" t="s">
        <v>20</v>
      </c>
      <c r="B9" s="25" t="s">
        <v>21</v>
      </c>
      <c r="C9" s="26">
        <v>45845</v>
      </c>
      <c r="D9" s="27" t="s">
        <v>22</v>
      </c>
      <c r="E9" s="28">
        <v>3</v>
      </c>
      <c r="F9" s="18">
        <v>2</v>
      </c>
      <c r="G9" s="18">
        <f t="shared" si="0"/>
        <v>1</v>
      </c>
      <c r="H9" s="19">
        <v>46215</v>
      </c>
      <c r="I9" s="20" t="s">
        <v>14</v>
      </c>
      <c r="J9" s="22"/>
      <c r="K9" s="22"/>
      <c r="L9" s="23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s="24" customFormat="1" x14ac:dyDescent="0.3">
      <c r="A10" s="29" t="s">
        <v>23</v>
      </c>
      <c r="B10" s="25" t="s">
        <v>24</v>
      </c>
      <c r="C10" s="26">
        <v>45999</v>
      </c>
      <c r="D10" s="30" t="s">
        <v>25</v>
      </c>
      <c r="E10" s="28">
        <v>1</v>
      </c>
      <c r="F10" s="31">
        <v>0</v>
      </c>
      <c r="G10" s="31">
        <f t="shared" si="0"/>
        <v>1</v>
      </c>
      <c r="H10" s="19">
        <f>+C10+180</f>
        <v>46179</v>
      </c>
      <c r="I10" s="32" t="s">
        <v>14</v>
      </c>
      <c r="J10" s="33"/>
      <c r="K10" s="33"/>
      <c r="L10" s="34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22"/>
    </row>
    <row r="11" spans="1:23" s="24" customFormat="1" x14ac:dyDescent="0.3">
      <c r="A11" s="29" t="s">
        <v>23</v>
      </c>
      <c r="B11" s="25" t="s">
        <v>24</v>
      </c>
      <c r="C11" s="26">
        <v>45999</v>
      </c>
      <c r="D11" s="30" t="s">
        <v>26</v>
      </c>
      <c r="E11" s="28">
        <v>1</v>
      </c>
      <c r="F11" s="31">
        <v>0</v>
      </c>
      <c r="G11" s="31">
        <f t="shared" si="0"/>
        <v>1</v>
      </c>
      <c r="H11" s="19">
        <f>+C11+180</f>
        <v>46179</v>
      </c>
      <c r="I11" s="32" t="s">
        <v>14</v>
      </c>
      <c r="J11" s="33"/>
      <c r="K11" s="33"/>
      <c r="L11" s="34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22"/>
    </row>
    <row r="12" spans="1:23" s="24" customFormat="1" x14ac:dyDescent="0.3">
      <c r="A12" s="29" t="s">
        <v>23</v>
      </c>
      <c r="B12" s="25" t="s">
        <v>24</v>
      </c>
      <c r="C12" s="26">
        <v>45999</v>
      </c>
      <c r="D12" s="30" t="s">
        <v>27</v>
      </c>
      <c r="E12" s="28">
        <v>1</v>
      </c>
      <c r="F12" s="31">
        <v>0</v>
      </c>
      <c r="G12" s="31">
        <f t="shared" si="0"/>
        <v>1</v>
      </c>
      <c r="H12" s="19">
        <f>+C12+180</f>
        <v>46179</v>
      </c>
      <c r="I12" s="32" t="s">
        <v>14</v>
      </c>
      <c r="J12" s="33"/>
      <c r="K12" s="33"/>
      <c r="L12" s="34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22"/>
    </row>
    <row r="13" spans="1:23" s="24" customFormat="1" x14ac:dyDescent="0.3">
      <c r="A13" s="14" t="s">
        <v>28</v>
      </c>
      <c r="B13" s="15" t="s">
        <v>29</v>
      </c>
      <c r="C13" s="16">
        <v>45166</v>
      </c>
      <c r="D13" s="14" t="s">
        <v>30</v>
      </c>
      <c r="E13" s="35">
        <v>10</v>
      </c>
      <c r="F13" s="18">
        <v>5</v>
      </c>
      <c r="G13" s="18">
        <f t="shared" si="0"/>
        <v>5</v>
      </c>
      <c r="H13" s="19">
        <v>46383</v>
      </c>
      <c r="I13" s="20" t="s">
        <v>28</v>
      </c>
      <c r="J13" s="22"/>
      <c r="K13" s="36"/>
      <c r="L13" s="23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s="24" customFormat="1" x14ac:dyDescent="0.3">
      <c r="A14" s="14" t="s">
        <v>28</v>
      </c>
      <c r="B14" s="15" t="s">
        <v>31</v>
      </c>
      <c r="C14" s="16">
        <v>45166</v>
      </c>
      <c r="D14" s="14" t="s">
        <v>32</v>
      </c>
      <c r="E14" s="35">
        <v>10</v>
      </c>
      <c r="F14" s="18">
        <v>7</v>
      </c>
      <c r="G14" s="18">
        <f t="shared" si="0"/>
        <v>3</v>
      </c>
      <c r="H14" s="19">
        <v>46992</v>
      </c>
      <c r="I14" s="20" t="s">
        <v>28</v>
      </c>
      <c r="J14" s="22"/>
      <c r="K14" s="37"/>
      <c r="L14" s="23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s="24" customFormat="1" x14ac:dyDescent="0.3">
      <c r="A15" s="14" t="s">
        <v>28</v>
      </c>
      <c r="B15" s="15" t="s">
        <v>33</v>
      </c>
      <c r="C15" s="16">
        <v>45265</v>
      </c>
      <c r="D15" s="38" t="s">
        <v>34</v>
      </c>
      <c r="E15" s="35">
        <v>12</v>
      </c>
      <c r="F15" s="18">
        <v>9</v>
      </c>
      <c r="G15" s="18">
        <f t="shared" si="0"/>
        <v>3</v>
      </c>
      <c r="H15" s="19">
        <v>46387</v>
      </c>
      <c r="I15" s="20" t="s">
        <v>28</v>
      </c>
      <c r="J15" s="36"/>
      <c r="K15" s="22"/>
      <c r="L15" s="23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s="24" customFormat="1" x14ac:dyDescent="0.3">
      <c r="A16" s="14" t="s">
        <v>28</v>
      </c>
      <c r="B16" s="25" t="s">
        <v>35</v>
      </c>
      <c r="C16" s="16">
        <v>45454</v>
      </c>
      <c r="D16" s="14" t="s">
        <v>36</v>
      </c>
      <c r="E16" s="17">
        <v>20</v>
      </c>
      <c r="F16" s="18">
        <v>13</v>
      </c>
      <c r="G16" s="18">
        <f t="shared" si="0"/>
        <v>7</v>
      </c>
      <c r="H16" s="19">
        <v>46203</v>
      </c>
      <c r="I16" s="20" t="s">
        <v>28</v>
      </c>
      <c r="J16" s="22"/>
      <c r="K16" s="37"/>
      <c r="L16" s="23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s="24" customFormat="1" x14ac:dyDescent="0.3">
      <c r="A17" s="14" t="s">
        <v>28</v>
      </c>
      <c r="B17" s="25" t="s">
        <v>37</v>
      </c>
      <c r="C17" s="16">
        <v>45454</v>
      </c>
      <c r="D17" s="14" t="s">
        <v>38</v>
      </c>
      <c r="E17" s="17">
        <v>10</v>
      </c>
      <c r="F17" s="18">
        <v>5</v>
      </c>
      <c r="G17" s="18">
        <f t="shared" si="0"/>
        <v>5</v>
      </c>
      <c r="H17" s="19">
        <v>46203</v>
      </c>
      <c r="I17" s="20" t="s">
        <v>28</v>
      </c>
      <c r="J17" s="22"/>
      <c r="K17" s="37"/>
      <c r="L17" s="23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s="24" customFormat="1" x14ac:dyDescent="0.3">
      <c r="A18" s="14" t="s">
        <v>28</v>
      </c>
      <c r="B18" s="25" t="s">
        <v>37</v>
      </c>
      <c r="C18" s="16">
        <v>45454</v>
      </c>
      <c r="D18" s="14" t="s">
        <v>39</v>
      </c>
      <c r="E18" s="17">
        <v>10</v>
      </c>
      <c r="F18" s="18">
        <v>5</v>
      </c>
      <c r="G18" s="18">
        <f t="shared" si="0"/>
        <v>5</v>
      </c>
      <c r="H18" s="19">
        <v>46203</v>
      </c>
      <c r="I18" s="20" t="s">
        <v>28</v>
      </c>
      <c r="J18" s="22"/>
      <c r="K18" s="37"/>
      <c r="L18" s="23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s="24" customFormat="1" x14ac:dyDescent="0.3">
      <c r="A19" s="14" t="s">
        <v>40</v>
      </c>
      <c r="B19" s="39" t="s">
        <v>41</v>
      </c>
      <c r="C19" s="16">
        <v>44264</v>
      </c>
      <c r="D19" s="14" t="s">
        <v>42</v>
      </c>
      <c r="E19" s="35">
        <v>8</v>
      </c>
      <c r="F19" s="18">
        <v>4.4000000000000004</v>
      </c>
      <c r="G19" s="18">
        <f t="shared" si="0"/>
        <v>3.5999999999999996</v>
      </c>
      <c r="H19" s="40">
        <v>46477</v>
      </c>
      <c r="I19" s="41" t="s">
        <v>43</v>
      </c>
      <c r="J19" s="22"/>
      <c r="K19" s="37"/>
      <c r="L19" s="23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s="24" customFormat="1" ht="21.6" x14ac:dyDescent="0.3">
      <c r="A20" s="14" t="s">
        <v>40</v>
      </c>
      <c r="B20" s="42" t="s">
        <v>44</v>
      </c>
      <c r="C20" s="16">
        <v>44412</v>
      </c>
      <c r="D20" s="43" t="s">
        <v>45</v>
      </c>
      <c r="E20" s="17">
        <v>8</v>
      </c>
      <c r="F20" s="18">
        <v>2</v>
      </c>
      <c r="G20" s="18">
        <f t="shared" si="0"/>
        <v>6</v>
      </c>
      <c r="H20" s="44" t="s">
        <v>46</v>
      </c>
      <c r="I20" s="41" t="s">
        <v>43</v>
      </c>
      <c r="J20" s="22"/>
      <c r="K20" s="37"/>
      <c r="L20" s="23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s="24" customFormat="1" ht="43.2" x14ac:dyDescent="0.3">
      <c r="A21" s="14" t="s">
        <v>40</v>
      </c>
      <c r="B21" s="39" t="s">
        <v>47</v>
      </c>
      <c r="C21" s="16">
        <v>44459</v>
      </c>
      <c r="D21" s="43" t="s">
        <v>48</v>
      </c>
      <c r="E21" s="17">
        <v>10</v>
      </c>
      <c r="F21" s="18">
        <v>8.25</v>
      </c>
      <c r="G21" s="18">
        <f t="shared" si="0"/>
        <v>1.75</v>
      </c>
      <c r="H21" s="40">
        <v>46356</v>
      </c>
      <c r="I21" s="41" t="s">
        <v>43</v>
      </c>
      <c r="J21" s="22"/>
      <c r="K21" s="22"/>
      <c r="L21" s="23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s="24" customFormat="1" ht="43.2" x14ac:dyDescent="0.3">
      <c r="A22" s="14" t="s">
        <v>40</v>
      </c>
      <c r="B22" s="39" t="s">
        <v>47</v>
      </c>
      <c r="C22" s="16">
        <v>44459</v>
      </c>
      <c r="D22" s="43" t="s">
        <v>49</v>
      </c>
      <c r="E22" s="17">
        <v>10</v>
      </c>
      <c r="F22" s="18">
        <v>7.55</v>
      </c>
      <c r="G22" s="18">
        <f t="shared" si="0"/>
        <v>2.4500000000000002</v>
      </c>
      <c r="H22" s="40">
        <v>46356</v>
      </c>
      <c r="I22" s="41" t="s">
        <v>43</v>
      </c>
      <c r="J22" s="22"/>
      <c r="K22" s="22"/>
      <c r="L22" s="23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s="24" customFormat="1" ht="43.2" x14ac:dyDescent="0.3">
      <c r="A23" s="14" t="s">
        <v>40</v>
      </c>
      <c r="B23" s="39" t="s">
        <v>47</v>
      </c>
      <c r="C23" s="16">
        <v>44459</v>
      </c>
      <c r="D23" s="43" t="s">
        <v>50</v>
      </c>
      <c r="E23" s="17">
        <v>10</v>
      </c>
      <c r="F23" s="18">
        <v>8.5999999999999979</v>
      </c>
      <c r="G23" s="18">
        <f t="shared" si="0"/>
        <v>1.4000000000000021</v>
      </c>
      <c r="H23" s="40">
        <v>46356</v>
      </c>
      <c r="I23" s="41" t="s">
        <v>43</v>
      </c>
      <c r="J23" s="22"/>
      <c r="K23" s="22"/>
      <c r="L23" s="23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s="24" customFormat="1" ht="43.2" x14ac:dyDescent="0.3">
      <c r="A24" s="14" t="s">
        <v>40</v>
      </c>
      <c r="B24" s="39" t="s">
        <v>47</v>
      </c>
      <c r="C24" s="16">
        <v>44459</v>
      </c>
      <c r="D24" s="43" t="s">
        <v>51</v>
      </c>
      <c r="E24" s="17">
        <v>10</v>
      </c>
      <c r="F24" s="18">
        <v>6.8499999999999988</v>
      </c>
      <c r="G24" s="18">
        <f t="shared" si="0"/>
        <v>3.1500000000000012</v>
      </c>
      <c r="H24" s="40">
        <v>46356</v>
      </c>
      <c r="I24" s="41" t="s">
        <v>43</v>
      </c>
      <c r="J24" s="22"/>
      <c r="K24" s="22"/>
      <c r="L24" s="23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s="24" customFormat="1" ht="28.8" x14ac:dyDescent="0.3">
      <c r="A25" s="14" t="s">
        <v>40</v>
      </c>
      <c r="B25" s="15" t="s">
        <v>52</v>
      </c>
      <c r="C25" s="16">
        <v>44687</v>
      </c>
      <c r="D25" s="14" t="s">
        <v>53</v>
      </c>
      <c r="E25" s="17">
        <v>4</v>
      </c>
      <c r="F25" s="18">
        <v>2.7</v>
      </c>
      <c r="G25" s="18">
        <f t="shared" si="0"/>
        <v>1.2999999999999998</v>
      </c>
      <c r="H25" s="40">
        <v>46260</v>
      </c>
      <c r="I25" s="41" t="s">
        <v>43</v>
      </c>
      <c r="J25" s="22"/>
      <c r="K25" s="37"/>
      <c r="L25" s="23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s="24" customFormat="1" ht="28.8" x14ac:dyDescent="0.3">
      <c r="A26" s="14" t="s">
        <v>40</v>
      </c>
      <c r="B26" s="15" t="s">
        <v>52</v>
      </c>
      <c r="C26" s="16">
        <v>44687</v>
      </c>
      <c r="D26" s="14" t="s">
        <v>54</v>
      </c>
      <c r="E26" s="17">
        <v>2</v>
      </c>
      <c r="F26" s="18">
        <v>1.85</v>
      </c>
      <c r="G26" s="18">
        <f t="shared" si="0"/>
        <v>0.14999999999999991</v>
      </c>
      <c r="H26" s="40">
        <v>46260</v>
      </c>
      <c r="I26" s="41" t="s">
        <v>43</v>
      </c>
      <c r="J26" s="22"/>
      <c r="K26" s="37"/>
      <c r="L26" s="23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s="24" customFormat="1" x14ac:dyDescent="0.3">
      <c r="A27" s="14" t="s">
        <v>40</v>
      </c>
      <c r="B27" s="15" t="s">
        <v>55</v>
      </c>
      <c r="C27" s="16">
        <v>45184</v>
      </c>
      <c r="D27" s="14" t="s">
        <v>56</v>
      </c>
      <c r="E27" s="35">
        <v>5</v>
      </c>
      <c r="F27" s="18">
        <v>3</v>
      </c>
      <c r="G27" s="18">
        <f t="shared" si="0"/>
        <v>2</v>
      </c>
      <c r="H27" s="40">
        <v>46387</v>
      </c>
      <c r="I27" s="41" t="s">
        <v>43</v>
      </c>
      <c r="J27" s="22"/>
      <c r="K27" s="22"/>
      <c r="L27" s="23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s="24" customFormat="1" ht="28.8" x14ac:dyDescent="0.3">
      <c r="A28" s="14" t="s">
        <v>40</v>
      </c>
      <c r="B28" s="25" t="s">
        <v>57</v>
      </c>
      <c r="C28" s="16">
        <v>45273</v>
      </c>
      <c r="D28" s="38" t="s">
        <v>58</v>
      </c>
      <c r="E28" s="35">
        <v>10</v>
      </c>
      <c r="F28" s="18">
        <v>6.4</v>
      </c>
      <c r="G28" s="18">
        <f t="shared" si="0"/>
        <v>3.5999999999999996</v>
      </c>
      <c r="H28" s="40">
        <v>46752</v>
      </c>
      <c r="I28" s="41" t="s">
        <v>43</v>
      </c>
      <c r="J28" s="22"/>
      <c r="K28" s="37"/>
      <c r="L28" s="23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s="24" customFormat="1" ht="28.8" x14ac:dyDescent="0.3">
      <c r="A29" s="14" t="s">
        <v>40</v>
      </c>
      <c r="B29" s="25" t="s">
        <v>57</v>
      </c>
      <c r="C29" s="16">
        <v>45273</v>
      </c>
      <c r="D29" s="38" t="s">
        <v>59</v>
      </c>
      <c r="E29" s="35">
        <v>10</v>
      </c>
      <c r="F29" s="18">
        <v>6.4</v>
      </c>
      <c r="G29" s="18">
        <f t="shared" si="0"/>
        <v>3.5999999999999996</v>
      </c>
      <c r="H29" s="40">
        <v>46752</v>
      </c>
      <c r="I29" s="41" t="s">
        <v>43</v>
      </c>
      <c r="J29" s="22"/>
      <c r="K29" s="37"/>
      <c r="L29" s="23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s="24" customFormat="1" x14ac:dyDescent="0.3">
      <c r="A30" s="27" t="s">
        <v>60</v>
      </c>
      <c r="B30" s="15" t="s">
        <v>61</v>
      </c>
      <c r="C30" s="16">
        <v>45581</v>
      </c>
      <c r="D30" s="27" t="s">
        <v>62</v>
      </c>
      <c r="E30" s="28">
        <v>4</v>
      </c>
      <c r="F30" s="31">
        <v>0</v>
      </c>
      <c r="G30" s="31">
        <f t="shared" si="0"/>
        <v>4</v>
      </c>
      <c r="H30" s="19">
        <v>46387</v>
      </c>
      <c r="I30" s="32" t="s">
        <v>63</v>
      </c>
      <c r="J30" s="33"/>
      <c r="K30" s="33"/>
      <c r="L30" s="34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22"/>
    </row>
    <row r="31" spans="1:23" s="24" customFormat="1" x14ac:dyDescent="0.3">
      <c r="A31" s="29" t="s">
        <v>23</v>
      </c>
      <c r="B31" s="25" t="s">
        <v>24</v>
      </c>
      <c r="C31" s="26">
        <v>45999</v>
      </c>
      <c r="D31" s="30" t="s">
        <v>64</v>
      </c>
      <c r="E31" s="28">
        <v>1</v>
      </c>
      <c r="F31" s="31">
        <v>0</v>
      </c>
      <c r="G31" s="31">
        <f t="shared" si="0"/>
        <v>1</v>
      </c>
      <c r="H31" s="19">
        <f>+C31+180</f>
        <v>46179</v>
      </c>
      <c r="I31" s="32" t="s">
        <v>63</v>
      </c>
      <c r="J31" s="33"/>
      <c r="K31" s="33"/>
      <c r="L31" s="34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22"/>
    </row>
    <row r="32" spans="1:23" s="24" customFormat="1" x14ac:dyDescent="0.3">
      <c r="A32" s="29" t="s">
        <v>23</v>
      </c>
      <c r="B32" s="25" t="s">
        <v>65</v>
      </c>
      <c r="C32" s="26">
        <v>46104</v>
      </c>
      <c r="D32" s="30" t="s">
        <v>66</v>
      </c>
      <c r="E32" s="28">
        <v>2</v>
      </c>
      <c r="F32" s="31">
        <v>0</v>
      </c>
      <c r="G32" s="31">
        <f t="shared" si="0"/>
        <v>2</v>
      </c>
      <c r="H32" s="19">
        <v>46203</v>
      </c>
      <c r="I32" s="32" t="s">
        <v>63</v>
      </c>
      <c r="J32" s="33"/>
      <c r="K32" s="33"/>
      <c r="L32" s="34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22"/>
    </row>
    <row r="33" spans="1:23" s="24" customFormat="1" x14ac:dyDescent="0.3">
      <c r="A33" s="29" t="s">
        <v>23</v>
      </c>
      <c r="B33" s="25" t="s">
        <v>65</v>
      </c>
      <c r="C33" s="26">
        <v>46104</v>
      </c>
      <c r="D33" s="30" t="s">
        <v>67</v>
      </c>
      <c r="E33" s="28">
        <v>2</v>
      </c>
      <c r="F33" s="31">
        <v>0</v>
      </c>
      <c r="G33" s="31">
        <f t="shared" si="0"/>
        <v>2</v>
      </c>
      <c r="H33" s="19">
        <v>46203</v>
      </c>
      <c r="I33" s="32" t="s">
        <v>63</v>
      </c>
      <c r="J33" s="33"/>
      <c r="K33" s="33"/>
      <c r="L33" s="34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22"/>
    </row>
    <row r="34" spans="1:23" s="24" customFormat="1" x14ac:dyDescent="0.3">
      <c r="A34" s="29" t="s">
        <v>23</v>
      </c>
      <c r="B34" s="25" t="s">
        <v>65</v>
      </c>
      <c r="C34" s="26">
        <v>46104</v>
      </c>
      <c r="D34" s="30" t="s">
        <v>68</v>
      </c>
      <c r="E34" s="28">
        <v>2</v>
      </c>
      <c r="F34" s="31">
        <v>0</v>
      </c>
      <c r="G34" s="31">
        <f t="shared" si="0"/>
        <v>2</v>
      </c>
      <c r="H34" s="19">
        <v>46203</v>
      </c>
      <c r="I34" s="32" t="s">
        <v>63</v>
      </c>
      <c r="J34" s="33"/>
      <c r="K34" s="33"/>
      <c r="L34" s="34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22"/>
    </row>
    <row r="35" spans="1:23" s="24" customFormat="1" x14ac:dyDescent="0.3">
      <c r="A35" s="29" t="s">
        <v>23</v>
      </c>
      <c r="B35" s="25" t="s">
        <v>65</v>
      </c>
      <c r="C35" s="26">
        <v>46104</v>
      </c>
      <c r="D35" s="30" t="s">
        <v>69</v>
      </c>
      <c r="E35" s="28">
        <v>1</v>
      </c>
      <c r="F35" s="31">
        <v>0</v>
      </c>
      <c r="G35" s="31">
        <f t="shared" si="0"/>
        <v>1</v>
      </c>
      <c r="H35" s="19">
        <v>46203</v>
      </c>
      <c r="I35" s="32" t="s">
        <v>63</v>
      </c>
      <c r="J35" s="33"/>
      <c r="K35" s="33"/>
      <c r="L35" s="34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22"/>
    </row>
    <row r="36" spans="1:23" s="24" customFormat="1" x14ac:dyDescent="0.3">
      <c r="A36" s="14" t="s">
        <v>28</v>
      </c>
      <c r="B36" s="15" t="s">
        <v>70</v>
      </c>
      <c r="C36" s="16">
        <v>45882</v>
      </c>
      <c r="D36" s="14" t="s">
        <v>71</v>
      </c>
      <c r="E36" s="28">
        <v>9</v>
      </c>
      <c r="F36" s="18">
        <v>0</v>
      </c>
      <c r="G36" s="18">
        <f t="shared" si="0"/>
        <v>9</v>
      </c>
      <c r="H36" s="19">
        <v>46796</v>
      </c>
      <c r="I36" s="41" t="s">
        <v>72</v>
      </c>
      <c r="J36" s="22"/>
      <c r="K36" s="22"/>
      <c r="L36" s="23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s="24" customFormat="1" x14ac:dyDescent="0.3">
      <c r="A37" s="14" t="s">
        <v>28</v>
      </c>
      <c r="B37" s="15" t="s">
        <v>70</v>
      </c>
      <c r="C37" s="16">
        <v>45882</v>
      </c>
      <c r="D37" s="14" t="s">
        <v>73</v>
      </c>
      <c r="E37" s="28">
        <v>1</v>
      </c>
      <c r="F37" s="18">
        <v>0</v>
      </c>
      <c r="G37" s="18">
        <f t="shared" si="0"/>
        <v>1</v>
      </c>
      <c r="H37" s="19">
        <v>46796</v>
      </c>
      <c r="I37" s="41" t="s">
        <v>72</v>
      </c>
      <c r="J37" s="22"/>
      <c r="K37" s="22"/>
      <c r="L37" s="23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s="24" customFormat="1" x14ac:dyDescent="0.3">
      <c r="A38" s="14" t="s">
        <v>28</v>
      </c>
      <c r="B38" s="15" t="s">
        <v>70</v>
      </c>
      <c r="C38" s="16">
        <v>45882</v>
      </c>
      <c r="D38" s="14" t="s">
        <v>74</v>
      </c>
      <c r="E38" s="28">
        <v>198</v>
      </c>
      <c r="F38" s="18">
        <v>0</v>
      </c>
      <c r="G38" s="18">
        <f t="shared" si="0"/>
        <v>198</v>
      </c>
      <c r="H38" s="19">
        <v>46796</v>
      </c>
      <c r="I38" s="41" t="s">
        <v>72</v>
      </c>
      <c r="J38" s="22"/>
      <c r="K38" s="22"/>
      <c r="L38" s="23"/>
      <c r="M38" s="22"/>
      <c r="N38" s="45"/>
      <c r="O38" s="22"/>
      <c r="P38" s="22"/>
      <c r="Q38" s="45"/>
      <c r="R38" s="22"/>
      <c r="S38" s="22"/>
      <c r="T38" s="45"/>
      <c r="U38" s="22"/>
      <c r="V38" s="22"/>
      <c r="W38" s="22"/>
    </row>
    <row r="39" spans="1:23" s="24" customFormat="1" x14ac:dyDescent="0.3">
      <c r="A39" s="14" t="s">
        <v>28</v>
      </c>
      <c r="B39" s="15" t="s">
        <v>70</v>
      </c>
      <c r="C39" s="16">
        <v>45882</v>
      </c>
      <c r="D39" s="14" t="s">
        <v>75</v>
      </c>
      <c r="E39" s="28">
        <v>252</v>
      </c>
      <c r="F39" s="18">
        <v>0</v>
      </c>
      <c r="G39" s="18">
        <f t="shared" si="0"/>
        <v>252</v>
      </c>
      <c r="H39" s="19">
        <v>46796</v>
      </c>
      <c r="I39" s="41" t="s">
        <v>72</v>
      </c>
      <c r="J39" s="22"/>
      <c r="K39" s="22"/>
      <c r="L39" s="23"/>
      <c r="M39" s="22"/>
      <c r="N39" s="45"/>
      <c r="O39" s="22"/>
      <c r="P39" s="22"/>
      <c r="Q39" s="22"/>
      <c r="R39" s="22"/>
      <c r="S39" s="22"/>
      <c r="T39" s="22"/>
      <c r="U39" s="22"/>
      <c r="V39" s="22"/>
      <c r="W39" s="22"/>
    </row>
    <row r="40" spans="1:23" s="24" customFormat="1" x14ac:dyDescent="0.3">
      <c r="A40" s="14" t="s">
        <v>28</v>
      </c>
      <c r="B40" s="25" t="s">
        <v>76</v>
      </c>
      <c r="C40" s="26">
        <v>45818</v>
      </c>
      <c r="D40" s="27" t="s">
        <v>77</v>
      </c>
      <c r="E40" s="28">
        <v>11</v>
      </c>
      <c r="F40" s="18">
        <v>6</v>
      </c>
      <c r="G40" s="18">
        <f t="shared" si="0"/>
        <v>5</v>
      </c>
      <c r="H40" s="19">
        <v>46366</v>
      </c>
      <c r="I40" s="41" t="s">
        <v>78</v>
      </c>
      <c r="J40" s="22"/>
      <c r="K40" s="22"/>
      <c r="L40" s="23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s="24" customFormat="1" x14ac:dyDescent="0.3">
      <c r="A41" s="14" t="s">
        <v>28</v>
      </c>
      <c r="B41" s="25" t="s">
        <v>76</v>
      </c>
      <c r="C41" s="26">
        <v>45818</v>
      </c>
      <c r="D41" s="27" t="s">
        <v>79</v>
      </c>
      <c r="E41" s="28">
        <v>8</v>
      </c>
      <c r="F41" s="18">
        <v>6</v>
      </c>
      <c r="G41" s="18">
        <f t="shared" si="0"/>
        <v>2</v>
      </c>
      <c r="H41" s="19">
        <v>46366</v>
      </c>
      <c r="I41" s="41" t="s">
        <v>78</v>
      </c>
      <c r="J41" s="22"/>
      <c r="K41" s="22"/>
      <c r="L41" s="23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s="24" customFormat="1" x14ac:dyDescent="0.3">
      <c r="A42" s="46" t="s">
        <v>80</v>
      </c>
      <c r="B42" s="15" t="s">
        <v>81</v>
      </c>
      <c r="C42" s="16">
        <v>45728</v>
      </c>
      <c r="D42" s="27" t="s">
        <v>82</v>
      </c>
      <c r="E42" s="28">
        <v>4185</v>
      </c>
      <c r="F42" s="18">
        <v>307.77</v>
      </c>
      <c r="G42" s="18">
        <f t="shared" si="0"/>
        <v>3877.23</v>
      </c>
      <c r="H42" s="19">
        <v>47440</v>
      </c>
      <c r="I42" s="41" t="s">
        <v>83</v>
      </c>
      <c r="J42" s="36"/>
      <c r="K42" s="37"/>
      <c r="L42" s="23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s="47" customFormat="1" x14ac:dyDescent="0.3">
      <c r="A43" s="46" t="s">
        <v>80</v>
      </c>
      <c r="B43" s="15" t="s">
        <v>81</v>
      </c>
      <c r="C43" s="16">
        <v>45728</v>
      </c>
      <c r="D43" s="27" t="s">
        <v>84</v>
      </c>
      <c r="E43" s="28">
        <v>90</v>
      </c>
      <c r="F43" s="18">
        <v>19.399999999999999</v>
      </c>
      <c r="G43" s="18">
        <f t="shared" si="0"/>
        <v>70.599999999999994</v>
      </c>
      <c r="H43" s="19">
        <v>47440</v>
      </c>
      <c r="I43" s="41" t="s">
        <v>83</v>
      </c>
      <c r="J43" s="36"/>
      <c r="K43" s="22"/>
      <c r="L43" s="23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1"/>
    </row>
    <row r="44" spans="1:23" s="24" customFormat="1" x14ac:dyDescent="0.3">
      <c r="A44" s="46" t="s">
        <v>80</v>
      </c>
      <c r="B44" s="15" t="s">
        <v>81</v>
      </c>
      <c r="C44" s="16">
        <v>45728</v>
      </c>
      <c r="D44" s="27" t="s">
        <v>85</v>
      </c>
      <c r="E44" s="28">
        <v>38025</v>
      </c>
      <c r="F44" s="18">
        <v>2210.83</v>
      </c>
      <c r="G44" s="18">
        <f t="shared" si="0"/>
        <v>35814.17</v>
      </c>
      <c r="H44" s="19">
        <v>47440</v>
      </c>
      <c r="I44" s="41" t="s">
        <v>83</v>
      </c>
      <c r="J44" s="36"/>
      <c r="K44" s="37"/>
      <c r="L44" s="23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s="24" customFormat="1" x14ac:dyDescent="0.3">
      <c r="A45" s="46" t="s">
        <v>80</v>
      </c>
      <c r="B45" s="15" t="s">
        <v>81</v>
      </c>
      <c r="C45" s="16">
        <v>45728</v>
      </c>
      <c r="D45" s="27" t="s">
        <v>86</v>
      </c>
      <c r="E45" s="28">
        <v>2970</v>
      </c>
      <c r="F45" s="18">
        <v>257.5</v>
      </c>
      <c r="G45" s="18">
        <f t="shared" si="0"/>
        <v>2712.5</v>
      </c>
      <c r="H45" s="19">
        <v>47440</v>
      </c>
      <c r="I45" s="41" t="s">
        <v>83</v>
      </c>
      <c r="J45" s="36"/>
      <c r="K45" s="22"/>
      <c r="L45" s="23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s="49" customFormat="1" x14ac:dyDescent="0.3">
      <c r="A46" s="46" t="s">
        <v>80</v>
      </c>
      <c r="B46" s="15" t="s">
        <v>81</v>
      </c>
      <c r="C46" s="16">
        <v>45728</v>
      </c>
      <c r="D46" s="27" t="s">
        <v>87</v>
      </c>
      <c r="E46" s="28">
        <v>3262.5</v>
      </c>
      <c r="F46" s="18">
        <v>147</v>
      </c>
      <c r="G46" s="18">
        <f t="shared" si="0"/>
        <v>3115.5</v>
      </c>
      <c r="H46" s="19">
        <v>47440</v>
      </c>
      <c r="I46" s="41" t="s">
        <v>83</v>
      </c>
      <c r="J46" s="36"/>
      <c r="K46" s="37"/>
      <c r="L46" s="2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48"/>
    </row>
    <row r="47" spans="1:23" s="24" customFormat="1" x14ac:dyDescent="0.3">
      <c r="A47" s="46" t="s">
        <v>80</v>
      </c>
      <c r="B47" s="15" t="s">
        <v>81</v>
      </c>
      <c r="C47" s="16">
        <v>45728</v>
      </c>
      <c r="D47" s="27" t="s">
        <v>88</v>
      </c>
      <c r="E47" s="28">
        <v>4320</v>
      </c>
      <c r="F47" s="18">
        <v>217.46</v>
      </c>
      <c r="G47" s="18">
        <f t="shared" si="0"/>
        <v>4102.54</v>
      </c>
      <c r="H47" s="19">
        <v>47440</v>
      </c>
      <c r="I47" s="41" t="s">
        <v>83</v>
      </c>
      <c r="J47" s="36"/>
      <c r="K47" s="37"/>
      <c r="L47" s="2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s="24" customFormat="1" x14ac:dyDescent="0.3">
      <c r="A48" s="46" t="s">
        <v>80</v>
      </c>
      <c r="B48" s="15" t="s">
        <v>81</v>
      </c>
      <c r="C48" s="16">
        <v>45728</v>
      </c>
      <c r="D48" s="27" t="s">
        <v>89</v>
      </c>
      <c r="E48" s="28">
        <v>8775</v>
      </c>
      <c r="F48" s="18">
        <v>264.44999999999993</v>
      </c>
      <c r="G48" s="18">
        <f t="shared" si="0"/>
        <v>8510.5499999999993</v>
      </c>
      <c r="H48" s="19">
        <v>47440</v>
      </c>
      <c r="I48" s="41" t="s">
        <v>83</v>
      </c>
      <c r="J48" s="36"/>
      <c r="K48" s="37"/>
      <c r="L48" s="2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s="24" customFormat="1" x14ac:dyDescent="0.3">
      <c r="A49" s="46" t="s">
        <v>80</v>
      </c>
      <c r="B49" s="15" t="s">
        <v>81</v>
      </c>
      <c r="C49" s="16">
        <v>45728</v>
      </c>
      <c r="D49" s="27" t="s">
        <v>90</v>
      </c>
      <c r="E49" s="28">
        <v>8775</v>
      </c>
      <c r="F49" s="18">
        <v>264.44999999999993</v>
      </c>
      <c r="G49" s="18">
        <f t="shared" si="0"/>
        <v>8510.5499999999993</v>
      </c>
      <c r="H49" s="19">
        <v>47440</v>
      </c>
      <c r="I49" s="41" t="s">
        <v>83</v>
      </c>
      <c r="J49" s="36"/>
      <c r="K49" s="37"/>
      <c r="L49" s="2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s="24" customFormat="1" x14ac:dyDescent="0.3">
      <c r="A50" s="46" t="s">
        <v>80</v>
      </c>
      <c r="B50" s="15" t="s">
        <v>81</v>
      </c>
      <c r="C50" s="16">
        <v>45728</v>
      </c>
      <c r="D50" s="27" t="s">
        <v>91</v>
      </c>
      <c r="E50" s="28">
        <v>4185</v>
      </c>
      <c r="F50" s="18">
        <v>133.1</v>
      </c>
      <c r="G50" s="18">
        <f t="shared" si="0"/>
        <v>4051.9</v>
      </c>
      <c r="H50" s="19">
        <v>47440</v>
      </c>
      <c r="I50" s="41" t="s">
        <v>83</v>
      </c>
      <c r="J50" s="36"/>
      <c r="K50" s="37"/>
      <c r="L50" s="23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s="24" customFormat="1" x14ac:dyDescent="0.3">
      <c r="A51" s="50" t="s">
        <v>83</v>
      </c>
      <c r="B51" s="39" t="s">
        <v>92</v>
      </c>
      <c r="C51" s="26">
        <v>45866</v>
      </c>
      <c r="D51" s="30" t="s">
        <v>93</v>
      </c>
      <c r="E51" s="28">
        <v>300</v>
      </c>
      <c r="F51" s="18">
        <v>74</v>
      </c>
      <c r="G51" s="18">
        <f t="shared" si="0"/>
        <v>226</v>
      </c>
      <c r="H51" s="19">
        <v>47440</v>
      </c>
      <c r="I51" s="41" t="s">
        <v>83</v>
      </c>
      <c r="J51" s="21"/>
      <c r="K51" s="37"/>
      <c r="L51" s="23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s="24" customFormat="1" x14ac:dyDescent="0.3">
      <c r="A52" s="51" t="s">
        <v>28</v>
      </c>
      <c r="B52" s="52" t="s">
        <v>94</v>
      </c>
      <c r="C52" s="53">
        <v>44533</v>
      </c>
      <c r="D52" s="54" t="s">
        <v>95</v>
      </c>
      <c r="E52" s="55">
        <v>3000</v>
      </c>
      <c r="F52" s="56">
        <v>1000</v>
      </c>
      <c r="G52" s="56">
        <f t="shared" si="0"/>
        <v>2000</v>
      </c>
      <c r="H52" s="57">
        <v>46053</v>
      </c>
      <c r="I52" s="58" t="s">
        <v>96</v>
      </c>
      <c r="J52" s="21"/>
      <c r="K52" s="21"/>
      <c r="L52" s="59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2"/>
    </row>
    <row r="53" spans="1:23" s="24" customFormat="1" x14ac:dyDescent="0.3">
      <c r="A53" s="14" t="s">
        <v>97</v>
      </c>
      <c r="B53" s="15" t="s">
        <v>98</v>
      </c>
      <c r="C53" s="16">
        <v>44543</v>
      </c>
      <c r="D53" s="14" t="s">
        <v>99</v>
      </c>
      <c r="E53" s="17">
        <v>6</v>
      </c>
      <c r="F53" s="18">
        <v>0</v>
      </c>
      <c r="G53" s="18">
        <f t="shared" si="0"/>
        <v>6</v>
      </c>
      <c r="H53" s="60" t="s">
        <v>100</v>
      </c>
      <c r="I53" s="41" t="s">
        <v>96</v>
      </c>
      <c r="J53" s="22"/>
      <c r="K53" s="22"/>
      <c r="L53" s="23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s="61" customFormat="1" x14ac:dyDescent="0.3">
      <c r="A54" s="14" t="s">
        <v>97</v>
      </c>
      <c r="B54" s="15" t="s">
        <v>98</v>
      </c>
      <c r="C54" s="16">
        <v>44543</v>
      </c>
      <c r="D54" s="14" t="s">
        <v>101</v>
      </c>
      <c r="E54" s="17">
        <v>6</v>
      </c>
      <c r="F54" s="18">
        <v>0</v>
      </c>
      <c r="G54" s="18">
        <f t="shared" si="0"/>
        <v>6</v>
      </c>
      <c r="H54" s="60" t="s">
        <v>100</v>
      </c>
      <c r="I54" s="41" t="s">
        <v>96</v>
      </c>
      <c r="J54" s="22"/>
      <c r="K54" s="22"/>
      <c r="L54" s="23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33"/>
    </row>
    <row r="55" spans="1:23" s="61" customFormat="1" x14ac:dyDescent="0.3">
      <c r="A55" s="14" t="s">
        <v>97</v>
      </c>
      <c r="B55" s="15" t="s">
        <v>98</v>
      </c>
      <c r="C55" s="16">
        <v>44543</v>
      </c>
      <c r="D55" s="14" t="s">
        <v>102</v>
      </c>
      <c r="E55" s="17">
        <v>6</v>
      </c>
      <c r="F55" s="18">
        <v>0</v>
      </c>
      <c r="G55" s="18">
        <f t="shared" si="0"/>
        <v>6</v>
      </c>
      <c r="H55" s="60" t="s">
        <v>100</v>
      </c>
      <c r="I55" s="41" t="s">
        <v>96</v>
      </c>
      <c r="J55" s="48"/>
      <c r="K55" s="48"/>
      <c r="L55" s="62"/>
      <c r="M55" s="48"/>
      <c r="N55" s="48"/>
      <c r="O55" s="48"/>
      <c r="P55" s="48"/>
      <c r="Q55" s="48"/>
      <c r="R55" s="48"/>
      <c r="S55" s="48"/>
      <c r="T55" s="48"/>
      <c r="U55" s="48"/>
      <c r="V55" s="22"/>
      <c r="W55" s="33"/>
    </row>
    <row r="56" spans="1:23" s="61" customFormat="1" x14ac:dyDescent="0.3">
      <c r="A56" s="14" t="s">
        <v>97</v>
      </c>
      <c r="B56" s="15" t="s">
        <v>98</v>
      </c>
      <c r="C56" s="16">
        <v>44543</v>
      </c>
      <c r="D56" s="14" t="s">
        <v>103</v>
      </c>
      <c r="E56" s="17">
        <v>6</v>
      </c>
      <c r="F56" s="18">
        <v>0</v>
      </c>
      <c r="G56" s="18">
        <f t="shared" si="0"/>
        <v>6</v>
      </c>
      <c r="H56" s="60" t="s">
        <v>100</v>
      </c>
      <c r="I56" s="41" t="s">
        <v>96</v>
      </c>
      <c r="J56" s="22"/>
      <c r="K56" s="22"/>
      <c r="L56" s="23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33"/>
    </row>
    <row r="57" spans="1:23" s="61" customFormat="1" x14ac:dyDescent="0.3">
      <c r="A57" s="14" t="s">
        <v>97</v>
      </c>
      <c r="B57" s="15" t="s">
        <v>98</v>
      </c>
      <c r="C57" s="16">
        <v>44543</v>
      </c>
      <c r="D57" s="14" t="s">
        <v>104</v>
      </c>
      <c r="E57" s="17">
        <v>6</v>
      </c>
      <c r="F57" s="18">
        <v>0</v>
      </c>
      <c r="G57" s="18">
        <f t="shared" si="0"/>
        <v>6</v>
      </c>
      <c r="H57" s="60" t="s">
        <v>100</v>
      </c>
      <c r="I57" s="41" t="s">
        <v>96</v>
      </c>
      <c r="J57" s="22"/>
      <c r="K57" s="22"/>
      <c r="L57" s="23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33"/>
    </row>
    <row r="58" spans="1:23" s="61" customFormat="1" x14ac:dyDescent="0.3">
      <c r="A58" s="14" t="s">
        <v>97</v>
      </c>
      <c r="B58" s="42">
        <v>3220010770</v>
      </c>
      <c r="C58" s="16">
        <v>44886</v>
      </c>
      <c r="D58" s="14" t="s">
        <v>99</v>
      </c>
      <c r="E58" s="35">
        <v>222</v>
      </c>
      <c r="F58" s="18">
        <v>86</v>
      </c>
      <c r="G58" s="18">
        <f t="shared" si="0"/>
        <v>136</v>
      </c>
      <c r="H58" s="60" t="s">
        <v>105</v>
      </c>
      <c r="I58" s="41" t="s">
        <v>96</v>
      </c>
      <c r="J58" s="36"/>
      <c r="K58" s="37"/>
      <c r="L58" s="23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33"/>
    </row>
    <row r="59" spans="1:23" s="61" customFormat="1" x14ac:dyDescent="0.3">
      <c r="A59" s="14" t="s">
        <v>97</v>
      </c>
      <c r="B59" s="42">
        <v>3220010770</v>
      </c>
      <c r="C59" s="16">
        <v>44886</v>
      </c>
      <c r="D59" s="14" t="s">
        <v>101</v>
      </c>
      <c r="E59" s="35">
        <v>222</v>
      </c>
      <c r="F59" s="18">
        <v>80</v>
      </c>
      <c r="G59" s="18">
        <f t="shared" si="0"/>
        <v>142</v>
      </c>
      <c r="H59" s="60" t="s">
        <v>105</v>
      </c>
      <c r="I59" s="41" t="s">
        <v>96</v>
      </c>
      <c r="J59" s="36"/>
      <c r="K59" s="37"/>
      <c r="L59" s="23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33"/>
    </row>
    <row r="60" spans="1:23" s="61" customFormat="1" x14ac:dyDescent="0.3">
      <c r="A60" s="14" t="s">
        <v>97</v>
      </c>
      <c r="B60" s="42">
        <v>3220010770</v>
      </c>
      <c r="C60" s="16">
        <v>44886</v>
      </c>
      <c r="D60" s="14" t="s">
        <v>106</v>
      </c>
      <c r="E60" s="35">
        <v>222</v>
      </c>
      <c r="F60" s="18">
        <v>80</v>
      </c>
      <c r="G60" s="18">
        <f t="shared" si="0"/>
        <v>142</v>
      </c>
      <c r="H60" s="60" t="s">
        <v>105</v>
      </c>
      <c r="I60" s="41" t="s">
        <v>96</v>
      </c>
      <c r="J60" s="36"/>
      <c r="K60" s="37"/>
      <c r="L60" s="23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33"/>
    </row>
    <row r="61" spans="1:23" s="61" customFormat="1" x14ac:dyDescent="0.3">
      <c r="A61" s="14" t="s">
        <v>97</v>
      </c>
      <c r="B61" s="42">
        <v>3220010770</v>
      </c>
      <c r="C61" s="16">
        <v>44886</v>
      </c>
      <c r="D61" s="14" t="s">
        <v>103</v>
      </c>
      <c r="E61" s="35">
        <v>222</v>
      </c>
      <c r="F61" s="18">
        <v>80</v>
      </c>
      <c r="G61" s="18">
        <f t="shared" si="0"/>
        <v>142</v>
      </c>
      <c r="H61" s="60" t="s">
        <v>105</v>
      </c>
      <c r="I61" s="41" t="s">
        <v>96</v>
      </c>
      <c r="J61" s="36"/>
      <c r="K61" s="37"/>
      <c r="L61" s="23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33"/>
    </row>
    <row r="62" spans="1:23" s="61" customFormat="1" x14ac:dyDescent="0.3">
      <c r="A62" s="14" t="s">
        <v>97</v>
      </c>
      <c r="B62" s="42">
        <v>3220010770</v>
      </c>
      <c r="C62" s="16">
        <v>44886</v>
      </c>
      <c r="D62" s="14" t="s">
        <v>107</v>
      </c>
      <c r="E62" s="35">
        <v>222</v>
      </c>
      <c r="F62" s="18">
        <v>80</v>
      </c>
      <c r="G62" s="18">
        <f t="shared" si="0"/>
        <v>142</v>
      </c>
      <c r="H62" s="60" t="s">
        <v>105</v>
      </c>
      <c r="I62" s="41" t="s">
        <v>96</v>
      </c>
      <c r="J62" s="36"/>
      <c r="K62" s="37"/>
      <c r="L62" s="2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33"/>
    </row>
    <row r="63" spans="1:23" s="61" customFormat="1" ht="21.6" x14ac:dyDescent="0.3">
      <c r="A63" s="27" t="s">
        <v>108</v>
      </c>
      <c r="B63" s="25" t="s">
        <v>109</v>
      </c>
      <c r="C63" s="16">
        <v>45322</v>
      </c>
      <c r="D63" s="63" t="s">
        <v>110</v>
      </c>
      <c r="E63" s="64">
        <v>1764</v>
      </c>
      <c r="F63" s="31">
        <v>200</v>
      </c>
      <c r="G63" s="31">
        <f t="shared" si="0"/>
        <v>1564</v>
      </c>
      <c r="H63" s="19">
        <v>46418</v>
      </c>
      <c r="I63" s="32" t="s">
        <v>96</v>
      </c>
      <c r="J63" s="33"/>
      <c r="K63" s="65"/>
      <c r="L63" s="34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</row>
    <row r="64" spans="1:23" s="61" customFormat="1" x14ac:dyDescent="0.3">
      <c r="A64" s="27" t="s">
        <v>83</v>
      </c>
      <c r="B64" s="15" t="s">
        <v>111</v>
      </c>
      <c r="C64" s="16">
        <v>45615</v>
      </c>
      <c r="D64" s="27" t="s">
        <v>112</v>
      </c>
      <c r="E64" s="28">
        <v>5115</v>
      </c>
      <c r="F64" s="31">
        <v>467.6</v>
      </c>
      <c r="G64" s="31">
        <f t="shared" si="0"/>
        <v>4647.3999999999996</v>
      </c>
      <c r="H64" s="19">
        <v>47440</v>
      </c>
      <c r="I64" s="32" t="s">
        <v>96</v>
      </c>
      <c r="J64" s="33"/>
      <c r="K64" s="65"/>
      <c r="L64" s="66"/>
      <c r="M64" s="67"/>
      <c r="N64" s="67"/>
      <c r="O64" s="67"/>
      <c r="P64" s="67"/>
      <c r="Q64" s="67"/>
      <c r="R64" s="67"/>
      <c r="S64" s="67"/>
      <c r="T64" s="67"/>
      <c r="U64" s="67"/>
      <c r="V64" s="33"/>
      <c r="W64" s="33"/>
    </row>
    <row r="65" spans="1:23" s="61" customFormat="1" x14ac:dyDescent="0.3">
      <c r="A65" s="27" t="s">
        <v>83</v>
      </c>
      <c r="B65" s="15" t="s">
        <v>111</v>
      </c>
      <c r="C65" s="16">
        <v>45615</v>
      </c>
      <c r="D65" s="27" t="s">
        <v>113</v>
      </c>
      <c r="E65" s="28">
        <v>110</v>
      </c>
      <c r="F65" s="31">
        <v>0</v>
      </c>
      <c r="G65" s="31">
        <f t="shared" si="0"/>
        <v>110</v>
      </c>
      <c r="H65" s="19">
        <v>47440</v>
      </c>
      <c r="I65" s="32" t="s">
        <v>96</v>
      </c>
      <c r="J65" s="33"/>
      <c r="K65" s="65"/>
      <c r="L65" s="34"/>
      <c r="M65" s="67"/>
      <c r="N65" s="67"/>
      <c r="O65" s="67"/>
      <c r="P65" s="67"/>
      <c r="Q65" s="67"/>
      <c r="R65" s="67"/>
      <c r="S65" s="67"/>
      <c r="T65" s="67"/>
      <c r="U65" s="67"/>
      <c r="V65" s="33"/>
      <c r="W65" s="33"/>
    </row>
    <row r="66" spans="1:23" s="61" customFormat="1" x14ac:dyDescent="0.3">
      <c r="A66" s="27" t="s">
        <v>83</v>
      </c>
      <c r="B66" s="15" t="s">
        <v>111</v>
      </c>
      <c r="C66" s="16">
        <v>45615</v>
      </c>
      <c r="D66" s="27" t="s">
        <v>114</v>
      </c>
      <c r="E66" s="28">
        <v>46475</v>
      </c>
      <c r="F66" s="31">
        <v>4111.3050000000003</v>
      </c>
      <c r="G66" s="31">
        <f t="shared" si="0"/>
        <v>42363.695</v>
      </c>
      <c r="H66" s="19">
        <v>47440</v>
      </c>
      <c r="I66" s="32" t="s">
        <v>96</v>
      </c>
      <c r="J66" s="33"/>
      <c r="K66" s="33"/>
      <c r="L66" s="34"/>
      <c r="M66" s="67"/>
      <c r="N66" s="67"/>
      <c r="O66" s="67"/>
      <c r="P66" s="67"/>
      <c r="Q66" s="67"/>
      <c r="R66" s="67"/>
      <c r="S66" s="67"/>
      <c r="T66" s="67"/>
      <c r="U66" s="67"/>
      <c r="V66" s="33"/>
      <c r="W66" s="33"/>
    </row>
    <row r="67" spans="1:23" s="61" customFormat="1" x14ac:dyDescent="0.3">
      <c r="A67" s="27" t="s">
        <v>83</v>
      </c>
      <c r="B67" s="15" t="s">
        <v>111</v>
      </c>
      <c r="C67" s="16">
        <v>45615</v>
      </c>
      <c r="D67" s="27" t="s">
        <v>115</v>
      </c>
      <c r="E67" s="28">
        <v>3630</v>
      </c>
      <c r="F67" s="31">
        <v>313.07</v>
      </c>
      <c r="G67" s="31">
        <f t="shared" ref="G67:G130" si="1">E67-F67</f>
        <v>3316.93</v>
      </c>
      <c r="H67" s="19">
        <v>47440</v>
      </c>
      <c r="I67" s="32" t="s">
        <v>96</v>
      </c>
      <c r="J67" s="33"/>
      <c r="K67" s="33"/>
      <c r="L67" s="34"/>
      <c r="M67" s="67"/>
      <c r="N67" s="67"/>
      <c r="O67" s="67"/>
      <c r="P67" s="67"/>
      <c r="Q67" s="67"/>
      <c r="R67" s="67"/>
      <c r="S67" s="67"/>
      <c r="T67" s="67"/>
      <c r="U67" s="67"/>
      <c r="V67" s="33"/>
      <c r="W67" s="33"/>
    </row>
    <row r="68" spans="1:23" s="61" customFormat="1" x14ac:dyDescent="0.3">
      <c r="A68" s="27" t="s">
        <v>83</v>
      </c>
      <c r="B68" s="15" t="s">
        <v>111</v>
      </c>
      <c r="C68" s="16">
        <v>45615</v>
      </c>
      <c r="D68" s="27" t="s">
        <v>116</v>
      </c>
      <c r="E68" s="28">
        <v>3988</v>
      </c>
      <c r="F68" s="31">
        <v>218</v>
      </c>
      <c r="G68" s="31">
        <f t="shared" si="1"/>
        <v>3770</v>
      </c>
      <c r="H68" s="19">
        <v>47440</v>
      </c>
      <c r="I68" s="32" t="s">
        <v>96</v>
      </c>
      <c r="J68" s="33"/>
      <c r="K68" s="65"/>
      <c r="L68" s="34"/>
      <c r="M68" s="67"/>
      <c r="N68" s="67"/>
      <c r="O68" s="67"/>
      <c r="P68" s="67"/>
      <c r="Q68" s="67"/>
      <c r="R68" s="67"/>
      <c r="S68" s="67"/>
      <c r="T68" s="67"/>
      <c r="U68" s="67"/>
      <c r="V68" s="33"/>
      <c r="W68" s="33"/>
    </row>
    <row r="69" spans="1:23" s="61" customFormat="1" x14ac:dyDescent="0.3">
      <c r="A69" s="27" t="s">
        <v>83</v>
      </c>
      <c r="B69" s="15" t="s">
        <v>111</v>
      </c>
      <c r="C69" s="16">
        <v>45615</v>
      </c>
      <c r="D69" s="27" t="s">
        <v>117</v>
      </c>
      <c r="E69" s="28">
        <v>5280</v>
      </c>
      <c r="F69" s="31">
        <v>293.02999999999997</v>
      </c>
      <c r="G69" s="31">
        <f t="shared" si="1"/>
        <v>4986.97</v>
      </c>
      <c r="H69" s="19">
        <v>47440</v>
      </c>
      <c r="I69" s="32" t="s">
        <v>96</v>
      </c>
      <c r="J69" s="33"/>
      <c r="K69" s="33"/>
      <c r="L69" s="34"/>
      <c r="M69" s="67"/>
      <c r="N69" s="67"/>
      <c r="O69" s="67"/>
      <c r="P69" s="67"/>
      <c r="Q69" s="67"/>
      <c r="R69" s="67"/>
      <c r="S69" s="67"/>
      <c r="T69" s="67"/>
      <c r="U69" s="67"/>
      <c r="V69" s="33"/>
      <c r="W69" s="33"/>
    </row>
    <row r="70" spans="1:23" s="61" customFormat="1" x14ac:dyDescent="0.3">
      <c r="A70" s="27" t="s">
        <v>83</v>
      </c>
      <c r="B70" s="15" t="s">
        <v>111</v>
      </c>
      <c r="C70" s="16">
        <v>45615</v>
      </c>
      <c r="D70" s="27" t="s">
        <v>118</v>
      </c>
      <c r="E70" s="28">
        <v>10725</v>
      </c>
      <c r="F70" s="31">
        <v>496.15</v>
      </c>
      <c r="G70" s="31">
        <f t="shared" si="1"/>
        <v>10228.85</v>
      </c>
      <c r="H70" s="19">
        <v>47440</v>
      </c>
      <c r="I70" s="32" t="s">
        <v>96</v>
      </c>
      <c r="J70" s="33"/>
      <c r="K70" s="33"/>
      <c r="L70" s="34"/>
      <c r="M70" s="67"/>
      <c r="N70" s="67"/>
      <c r="O70" s="67"/>
      <c r="P70" s="67"/>
      <c r="Q70" s="67"/>
      <c r="R70" s="67"/>
      <c r="S70" s="67"/>
      <c r="T70" s="67"/>
      <c r="U70" s="67"/>
      <c r="V70" s="33"/>
      <c r="W70" s="33"/>
    </row>
    <row r="71" spans="1:23" s="61" customFormat="1" x14ac:dyDescent="0.3">
      <c r="A71" s="27" t="s">
        <v>83</v>
      </c>
      <c r="B71" s="15" t="s">
        <v>111</v>
      </c>
      <c r="C71" s="16">
        <v>45615</v>
      </c>
      <c r="D71" s="27" t="s">
        <v>119</v>
      </c>
      <c r="E71" s="28">
        <v>10725</v>
      </c>
      <c r="F71" s="31">
        <v>496.15</v>
      </c>
      <c r="G71" s="31">
        <f t="shared" si="1"/>
        <v>10228.85</v>
      </c>
      <c r="H71" s="19">
        <v>47440</v>
      </c>
      <c r="I71" s="32" t="s">
        <v>96</v>
      </c>
      <c r="J71" s="33"/>
      <c r="K71" s="33"/>
      <c r="L71" s="34"/>
      <c r="M71" s="67"/>
      <c r="N71" s="67"/>
      <c r="O71" s="67"/>
      <c r="P71" s="67"/>
      <c r="Q71" s="67"/>
      <c r="R71" s="67"/>
      <c r="S71" s="67"/>
      <c r="T71" s="67"/>
      <c r="U71" s="67"/>
      <c r="V71" s="33"/>
      <c r="W71" s="33"/>
    </row>
    <row r="72" spans="1:23" s="69" customFormat="1" x14ac:dyDescent="0.3">
      <c r="A72" s="27" t="s">
        <v>83</v>
      </c>
      <c r="B72" s="15" t="s">
        <v>111</v>
      </c>
      <c r="C72" s="16">
        <v>45615</v>
      </c>
      <c r="D72" s="27" t="s">
        <v>120</v>
      </c>
      <c r="E72" s="28">
        <v>5115</v>
      </c>
      <c r="F72" s="31">
        <v>739</v>
      </c>
      <c r="G72" s="31">
        <f t="shared" si="1"/>
        <v>4376</v>
      </c>
      <c r="H72" s="19">
        <v>47440</v>
      </c>
      <c r="I72" s="32" t="s">
        <v>96</v>
      </c>
      <c r="J72" s="33"/>
      <c r="K72" s="33"/>
      <c r="L72" s="34"/>
      <c r="M72" s="67"/>
      <c r="N72" s="67"/>
      <c r="O72" s="67"/>
      <c r="P72" s="67"/>
      <c r="Q72" s="67"/>
      <c r="R72" s="67"/>
      <c r="S72" s="67"/>
      <c r="T72" s="67"/>
      <c r="U72" s="67"/>
      <c r="V72" s="33"/>
      <c r="W72" s="68"/>
    </row>
    <row r="73" spans="1:23" s="61" customFormat="1" ht="13.8" x14ac:dyDescent="0.3">
      <c r="A73" s="27" t="s">
        <v>97</v>
      </c>
      <c r="B73" s="25" t="s">
        <v>121</v>
      </c>
      <c r="C73" s="26">
        <v>45621</v>
      </c>
      <c r="D73" s="27" t="s">
        <v>122</v>
      </c>
      <c r="E73" s="28">
        <v>10</v>
      </c>
      <c r="F73" s="31">
        <v>0</v>
      </c>
      <c r="G73" s="31">
        <f t="shared" si="1"/>
        <v>10</v>
      </c>
      <c r="H73" s="60" t="s">
        <v>123</v>
      </c>
      <c r="I73" s="32" t="s">
        <v>96</v>
      </c>
      <c r="J73" s="33"/>
      <c r="K73" s="33"/>
      <c r="L73" s="34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</row>
    <row r="74" spans="1:23" s="61" customFormat="1" ht="13.8" x14ac:dyDescent="0.3">
      <c r="A74" s="27" t="s">
        <v>97</v>
      </c>
      <c r="B74" s="25" t="s">
        <v>121</v>
      </c>
      <c r="C74" s="26">
        <v>45621</v>
      </c>
      <c r="D74" s="27" t="s">
        <v>124</v>
      </c>
      <c r="E74" s="28">
        <v>10</v>
      </c>
      <c r="F74" s="31">
        <v>0</v>
      </c>
      <c r="G74" s="31">
        <f t="shared" si="1"/>
        <v>10</v>
      </c>
      <c r="H74" s="60" t="s">
        <v>123</v>
      </c>
      <c r="I74" s="32" t="s">
        <v>96</v>
      </c>
      <c r="J74" s="33"/>
      <c r="K74" s="33"/>
      <c r="L74" s="34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</row>
    <row r="75" spans="1:23" s="61" customFormat="1" ht="13.8" x14ac:dyDescent="0.3">
      <c r="A75" s="27" t="s">
        <v>97</v>
      </c>
      <c r="B75" s="25" t="s">
        <v>121</v>
      </c>
      <c r="C75" s="26">
        <v>45621</v>
      </c>
      <c r="D75" s="27" t="s">
        <v>125</v>
      </c>
      <c r="E75" s="28">
        <v>10</v>
      </c>
      <c r="F75" s="31">
        <v>0</v>
      </c>
      <c r="G75" s="31">
        <f t="shared" si="1"/>
        <v>10</v>
      </c>
      <c r="H75" s="60" t="s">
        <v>123</v>
      </c>
      <c r="I75" s="32" t="s">
        <v>96</v>
      </c>
      <c r="J75" s="33"/>
      <c r="K75" s="33"/>
      <c r="L75" s="34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</row>
    <row r="76" spans="1:23" s="61" customFormat="1" ht="13.8" x14ac:dyDescent="0.3">
      <c r="A76" s="27" t="s">
        <v>97</v>
      </c>
      <c r="B76" s="25" t="s">
        <v>121</v>
      </c>
      <c r="C76" s="26">
        <v>45621</v>
      </c>
      <c r="D76" s="27" t="s">
        <v>126</v>
      </c>
      <c r="E76" s="28">
        <v>10</v>
      </c>
      <c r="F76" s="31">
        <v>0</v>
      </c>
      <c r="G76" s="31">
        <f t="shared" si="1"/>
        <v>10</v>
      </c>
      <c r="H76" s="60" t="s">
        <v>123</v>
      </c>
      <c r="I76" s="32" t="s">
        <v>96</v>
      </c>
      <c r="J76" s="33"/>
      <c r="K76" s="33"/>
      <c r="L76" s="34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</row>
    <row r="77" spans="1:23" s="61" customFormat="1" ht="13.8" x14ac:dyDescent="0.3">
      <c r="A77" s="27" t="s">
        <v>97</v>
      </c>
      <c r="B77" s="25" t="s">
        <v>121</v>
      </c>
      <c r="C77" s="26">
        <v>45621</v>
      </c>
      <c r="D77" s="27" t="s">
        <v>127</v>
      </c>
      <c r="E77" s="28">
        <v>10</v>
      </c>
      <c r="F77" s="31">
        <v>0</v>
      </c>
      <c r="G77" s="31">
        <f t="shared" si="1"/>
        <v>10</v>
      </c>
      <c r="H77" s="60" t="s">
        <v>123</v>
      </c>
      <c r="I77" s="32" t="s">
        <v>96</v>
      </c>
      <c r="J77" s="33"/>
      <c r="K77" s="33"/>
      <c r="L77" s="34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</row>
    <row r="78" spans="1:23" s="61" customFormat="1" x14ac:dyDescent="0.3">
      <c r="A78" s="27" t="s">
        <v>128</v>
      </c>
      <c r="B78" s="15" t="s">
        <v>129</v>
      </c>
      <c r="C78" s="16">
        <v>45659</v>
      </c>
      <c r="D78" s="27" t="s">
        <v>130</v>
      </c>
      <c r="E78" s="28">
        <v>200</v>
      </c>
      <c r="F78" s="31">
        <v>150</v>
      </c>
      <c r="G78" s="31">
        <f t="shared" si="1"/>
        <v>50</v>
      </c>
      <c r="H78" s="19">
        <v>45746</v>
      </c>
      <c r="I78" s="32" t="s">
        <v>96</v>
      </c>
      <c r="J78" s="33"/>
      <c r="K78" s="33"/>
      <c r="L78" s="34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</row>
    <row r="79" spans="1:23" s="61" customFormat="1" x14ac:dyDescent="0.3">
      <c r="A79" s="70" t="s">
        <v>108</v>
      </c>
      <c r="B79" s="25" t="s">
        <v>131</v>
      </c>
      <c r="C79" s="26">
        <v>45764</v>
      </c>
      <c r="D79" s="27" t="s">
        <v>132</v>
      </c>
      <c r="E79" s="28">
        <v>36600</v>
      </c>
      <c r="F79" s="31">
        <v>5400</v>
      </c>
      <c r="G79" s="31">
        <f t="shared" si="1"/>
        <v>31200</v>
      </c>
      <c r="H79" s="19">
        <v>47224</v>
      </c>
      <c r="I79" s="32" t="s">
        <v>96</v>
      </c>
      <c r="J79" s="33"/>
      <c r="K79" s="33"/>
      <c r="L79" s="34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</row>
    <row r="80" spans="1:23" s="61" customFormat="1" x14ac:dyDescent="0.3">
      <c r="A80" s="29" t="s">
        <v>108</v>
      </c>
      <c r="B80" s="25" t="s">
        <v>131</v>
      </c>
      <c r="C80" s="26">
        <v>45764</v>
      </c>
      <c r="D80" s="27" t="s">
        <v>133</v>
      </c>
      <c r="E80" s="28">
        <v>1605</v>
      </c>
      <c r="F80" s="31">
        <v>155</v>
      </c>
      <c r="G80" s="31">
        <f t="shared" si="1"/>
        <v>1450</v>
      </c>
      <c r="H80" s="19">
        <v>47224</v>
      </c>
      <c r="I80" s="32" t="s">
        <v>96</v>
      </c>
      <c r="J80" s="68"/>
      <c r="K80" s="68"/>
      <c r="L80" s="71"/>
      <c r="M80" s="68"/>
      <c r="N80" s="68"/>
      <c r="O80" s="68"/>
      <c r="P80" s="68"/>
      <c r="Q80" s="68"/>
      <c r="R80" s="68"/>
      <c r="S80" s="68"/>
      <c r="T80" s="68"/>
      <c r="U80" s="68"/>
      <c r="V80" s="33"/>
      <c r="W80" s="33"/>
    </row>
    <row r="81" spans="1:23" s="61" customFormat="1" x14ac:dyDescent="0.3">
      <c r="A81" s="72" t="s">
        <v>40</v>
      </c>
      <c r="B81" s="25" t="s">
        <v>134</v>
      </c>
      <c r="C81" s="26">
        <v>45811</v>
      </c>
      <c r="D81" s="27" t="s">
        <v>135</v>
      </c>
      <c r="E81" s="28">
        <v>1500</v>
      </c>
      <c r="F81" s="31">
        <v>250</v>
      </c>
      <c r="G81" s="31">
        <f t="shared" si="1"/>
        <v>1250</v>
      </c>
      <c r="H81" s="19">
        <v>46541</v>
      </c>
      <c r="I81" s="32" t="s">
        <v>96</v>
      </c>
      <c r="J81" s="33"/>
      <c r="K81" s="33"/>
      <c r="L81" s="34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</row>
    <row r="82" spans="1:23" s="61" customFormat="1" x14ac:dyDescent="0.3">
      <c r="A82" s="29" t="s">
        <v>136</v>
      </c>
      <c r="B82" s="25" t="s">
        <v>137</v>
      </c>
      <c r="C82" s="26">
        <v>46105</v>
      </c>
      <c r="D82" s="27" t="s">
        <v>138</v>
      </c>
      <c r="E82" s="28">
        <v>10</v>
      </c>
      <c r="F82" s="31">
        <v>0</v>
      </c>
      <c r="G82" s="31">
        <f t="shared" si="1"/>
        <v>10</v>
      </c>
      <c r="H82" s="19">
        <v>46233</v>
      </c>
      <c r="I82" s="32" t="s">
        <v>96</v>
      </c>
      <c r="J82" s="33"/>
      <c r="K82" s="33"/>
      <c r="L82" s="34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</row>
    <row r="83" spans="1:23" s="61" customFormat="1" x14ac:dyDescent="0.3">
      <c r="A83" s="27" t="s">
        <v>139</v>
      </c>
      <c r="B83" s="15" t="s">
        <v>140</v>
      </c>
      <c r="C83" s="26">
        <v>45478</v>
      </c>
      <c r="D83" s="27" t="s">
        <v>141</v>
      </c>
      <c r="E83" s="28">
        <v>10</v>
      </c>
      <c r="F83" s="31">
        <v>9</v>
      </c>
      <c r="G83" s="31">
        <f t="shared" si="1"/>
        <v>1</v>
      </c>
      <c r="H83" s="19">
        <f>+C83+30</f>
        <v>45508</v>
      </c>
      <c r="I83" s="32" t="s">
        <v>96</v>
      </c>
      <c r="J83" s="33"/>
      <c r="K83" s="73"/>
      <c r="L83" s="34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</row>
    <row r="84" spans="1:23" s="61" customFormat="1" x14ac:dyDescent="0.3">
      <c r="A84" s="27" t="s">
        <v>142</v>
      </c>
      <c r="B84" s="39" t="s">
        <v>143</v>
      </c>
      <c r="C84" s="26">
        <v>46031</v>
      </c>
      <c r="D84" s="30" t="s">
        <v>144</v>
      </c>
      <c r="E84" s="28">
        <v>200</v>
      </c>
      <c r="F84" s="31"/>
      <c r="G84" s="31">
        <f t="shared" si="1"/>
        <v>200</v>
      </c>
      <c r="H84" s="19">
        <v>46396</v>
      </c>
      <c r="I84" s="74" t="s">
        <v>145</v>
      </c>
      <c r="J84" s="75"/>
      <c r="K84" s="75"/>
      <c r="L84" s="76"/>
      <c r="M84" s="77"/>
      <c r="N84" s="77"/>
      <c r="O84" s="77"/>
      <c r="P84" s="77"/>
      <c r="Q84" s="77"/>
      <c r="R84" s="77"/>
      <c r="S84" s="75"/>
      <c r="T84" s="75"/>
      <c r="U84" s="75"/>
      <c r="V84" s="33"/>
      <c r="W84" s="33"/>
    </row>
    <row r="85" spans="1:23" s="61" customFormat="1" ht="27.6" x14ac:dyDescent="0.3">
      <c r="A85" s="27" t="s">
        <v>146</v>
      </c>
      <c r="B85" s="15" t="s">
        <v>147</v>
      </c>
      <c r="C85" s="16">
        <v>45595</v>
      </c>
      <c r="D85" s="27" t="s">
        <v>148</v>
      </c>
      <c r="E85" s="28">
        <v>3</v>
      </c>
      <c r="F85" s="31">
        <v>0</v>
      </c>
      <c r="G85" s="31">
        <f t="shared" si="1"/>
        <v>3</v>
      </c>
      <c r="H85" s="74" t="s">
        <v>149</v>
      </c>
      <c r="I85" s="74" t="s">
        <v>150</v>
      </c>
      <c r="J85" s="33"/>
      <c r="K85" s="33"/>
      <c r="L85" s="34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</row>
    <row r="86" spans="1:23" s="61" customFormat="1" ht="27.6" x14ac:dyDescent="0.3">
      <c r="A86" s="27" t="s">
        <v>146</v>
      </c>
      <c r="B86" s="15" t="s">
        <v>147</v>
      </c>
      <c r="C86" s="16">
        <v>45595</v>
      </c>
      <c r="D86" s="27" t="s">
        <v>151</v>
      </c>
      <c r="E86" s="28">
        <v>3</v>
      </c>
      <c r="F86" s="31">
        <v>0</v>
      </c>
      <c r="G86" s="31">
        <f t="shared" si="1"/>
        <v>3</v>
      </c>
      <c r="H86" s="74" t="s">
        <v>149</v>
      </c>
      <c r="I86" s="74" t="s">
        <v>150</v>
      </c>
      <c r="J86" s="33"/>
      <c r="K86" s="33"/>
      <c r="L86" s="34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</row>
    <row r="87" spans="1:23" s="61" customFormat="1" ht="27.6" x14ac:dyDescent="0.3">
      <c r="A87" s="27" t="s">
        <v>146</v>
      </c>
      <c r="B87" s="15" t="s">
        <v>147</v>
      </c>
      <c r="C87" s="16">
        <v>45595</v>
      </c>
      <c r="D87" s="27" t="s">
        <v>152</v>
      </c>
      <c r="E87" s="28">
        <v>1</v>
      </c>
      <c r="F87" s="31">
        <v>0</v>
      </c>
      <c r="G87" s="31">
        <f t="shared" si="1"/>
        <v>1</v>
      </c>
      <c r="H87" s="74" t="s">
        <v>149</v>
      </c>
      <c r="I87" s="74" t="s">
        <v>150</v>
      </c>
      <c r="J87" s="33"/>
      <c r="K87" s="33"/>
      <c r="L87" s="34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</row>
    <row r="88" spans="1:23" s="61" customFormat="1" x14ac:dyDescent="0.3">
      <c r="A88" s="72" t="s">
        <v>153</v>
      </c>
      <c r="B88" s="25" t="s">
        <v>154</v>
      </c>
      <c r="C88" s="26">
        <v>46093</v>
      </c>
      <c r="D88" s="27" t="s">
        <v>155</v>
      </c>
      <c r="E88" s="28">
        <v>150</v>
      </c>
      <c r="F88" s="31">
        <v>0</v>
      </c>
      <c r="G88" s="31">
        <f t="shared" si="1"/>
        <v>150</v>
      </c>
      <c r="H88" s="19">
        <f t="shared" ref="H88:H93" si="2">+C88+150</f>
        <v>46243</v>
      </c>
      <c r="I88" s="74" t="s">
        <v>150</v>
      </c>
      <c r="J88" s="78"/>
      <c r="K88" s="79"/>
      <c r="L88" s="80"/>
      <c r="M88" s="81"/>
      <c r="N88" s="81"/>
      <c r="O88" s="81"/>
      <c r="P88" s="33"/>
      <c r="Q88" s="33"/>
      <c r="R88" s="33"/>
      <c r="S88" s="33"/>
      <c r="T88" s="33"/>
      <c r="U88" s="33"/>
      <c r="V88" s="33"/>
      <c r="W88" s="33"/>
    </row>
    <row r="89" spans="1:23" s="61" customFormat="1" x14ac:dyDescent="0.3">
      <c r="A89" s="72" t="s">
        <v>153</v>
      </c>
      <c r="B89" s="25" t="s">
        <v>154</v>
      </c>
      <c r="C89" s="26">
        <v>46093</v>
      </c>
      <c r="D89" s="27" t="s">
        <v>156</v>
      </c>
      <c r="E89" s="28">
        <v>300</v>
      </c>
      <c r="F89" s="31">
        <v>0</v>
      </c>
      <c r="G89" s="31">
        <f t="shared" si="1"/>
        <v>300</v>
      </c>
      <c r="H89" s="19">
        <f t="shared" si="2"/>
        <v>46243</v>
      </c>
      <c r="I89" s="74" t="s">
        <v>150</v>
      </c>
      <c r="J89" s="78"/>
      <c r="K89" s="79"/>
      <c r="L89" s="80"/>
      <c r="M89" s="81"/>
      <c r="N89" s="81"/>
      <c r="O89" s="81"/>
      <c r="P89" s="33"/>
      <c r="Q89" s="33"/>
      <c r="R89" s="33"/>
      <c r="S89" s="33"/>
      <c r="T89" s="33"/>
      <c r="U89" s="33"/>
      <c r="V89" s="33"/>
      <c r="W89" s="33"/>
    </row>
    <row r="90" spans="1:23" s="61" customFormat="1" x14ac:dyDescent="0.3">
      <c r="A90" s="72" t="s">
        <v>153</v>
      </c>
      <c r="B90" s="25" t="s">
        <v>154</v>
      </c>
      <c r="C90" s="26">
        <v>46093</v>
      </c>
      <c r="D90" s="27" t="s">
        <v>157</v>
      </c>
      <c r="E90" s="28">
        <v>150</v>
      </c>
      <c r="F90" s="31">
        <v>0</v>
      </c>
      <c r="G90" s="31">
        <f t="shared" si="1"/>
        <v>150</v>
      </c>
      <c r="H90" s="19">
        <f t="shared" si="2"/>
        <v>46243</v>
      </c>
      <c r="I90" s="74" t="s">
        <v>150</v>
      </c>
      <c r="J90" s="78"/>
      <c r="K90" s="79"/>
      <c r="L90" s="80"/>
      <c r="M90" s="81"/>
      <c r="N90" s="81"/>
      <c r="O90" s="81"/>
      <c r="P90" s="33"/>
      <c r="Q90" s="33"/>
      <c r="R90" s="33"/>
      <c r="S90" s="33"/>
      <c r="T90" s="33"/>
      <c r="U90" s="33"/>
      <c r="V90" s="33"/>
      <c r="W90" s="33"/>
    </row>
    <row r="91" spans="1:23" s="61" customFormat="1" x14ac:dyDescent="0.3">
      <c r="A91" s="72" t="s">
        <v>153</v>
      </c>
      <c r="B91" s="25" t="s">
        <v>154</v>
      </c>
      <c r="C91" s="26">
        <v>46093</v>
      </c>
      <c r="D91" s="27" t="s">
        <v>158</v>
      </c>
      <c r="E91" s="28">
        <v>150</v>
      </c>
      <c r="F91" s="31">
        <v>0</v>
      </c>
      <c r="G91" s="31">
        <f t="shared" si="1"/>
        <v>150</v>
      </c>
      <c r="H91" s="19">
        <f t="shared" si="2"/>
        <v>46243</v>
      </c>
      <c r="I91" s="74" t="s">
        <v>150</v>
      </c>
      <c r="J91" s="78"/>
      <c r="K91" s="79"/>
      <c r="L91" s="80"/>
      <c r="M91" s="81"/>
      <c r="N91" s="81"/>
      <c r="O91" s="81"/>
      <c r="P91" s="33"/>
      <c r="Q91" s="33"/>
      <c r="R91" s="33"/>
      <c r="S91" s="33"/>
      <c r="T91" s="33"/>
      <c r="U91" s="33"/>
      <c r="V91" s="33"/>
      <c r="W91" s="33"/>
    </row>
    <row r="92" spans="1:23" s="61" customFormat="1" x14ac:dyDescent="0.3">
      <c r="A92" s="72" t="s">
        <v>153</v>
      </c>
      <c r="B92" s="25" t="s">
        <v>154</v>
      </c>
      <c r="C92" s="26">
        <v>46093</v>
      </c>
      <c r="D92" s="27" t="s">
        <v>159</v>
      </c>
      <c r="E92" s="28">
        <v>300</v>
      </c>
      <c r="F92" s="31">
        <v>0</v>
      </c>
      <c r="G92" s="31">
        <f t="shared" si="1"/>
        <v>300</v>
      </c>
      <c r="H92" s="19">
        <f t="shared" si="2"/>
        <v>46243</v>
      </c>
      <c r="I92" s="74" t="s">
        <v>150</v>
      </c>
      <c r="J92" s="78"/>
      <c r="K92" s="79"/>
      <c r="L92" s="80"/>
      <c r="M92" s="81"/>
      <c r="N92" s="81"/>
      <c r="O92" s="81"/>
      <c r="P92" s="33"/>
      <c r="Q92" s="33"/>
      <c r="R92" s="33"/>
      <c r="S92" s="33"/>
      <c r="T92" s="33"/>
      <c r="U92" s="33"/>
      <c r="V92" s="33"/>
      <c r="W92" s="33"/>
    </row>
    <row r="93" spans="1:23" s="61" customFormat="1" x14ac:dyDescent="0.3">
      <c r="A93" s="72" t="s">
        <v>153</v>
      </c>
      <c r="B93" s="25" t="s">
        <v>154</v>
      </c>
      <c r="C93" s="26">
        <v>46093</v>
      </c>
      <c r="D93" s="27" t="s">
        <v>160</v>
      </c>
      <c r="E93" s="28">
        <v>300</v>
      </c>
      <c r="F93" s="31">
        <v>0</v>
      </c>
      <c r="G93" s="31">
        <f t="shared" si="1"/>
        <v>300</v>
      </c>
      <c r="H93" s="19">
        <f t="shared" si="2"/>
        <v>46243</v>
      </c>
      <c r="I93" s="74" t="s">
        <v>150</v>
      </c>
      <c r="J93" s="78"/>
      <c r="K93" s="79"/>
      <c r="L93" s="80"/>
      <c r="M93" s="81"/>
      <c r="N93" s="81"/>
      <c r="O93" s="81"/>
      <c r="P93" s="33"/>
      <c r="Q93" s="33"/>
      <c r="R93" s="33"/>
      <c r="S93" s="33"/>
      <c r="T93" s="33"/>
      <c r="U93" s="33"/>
      <c r="V93" s="33"/>
      <c r="W93" s="33"/>
    </row>
    <row r="94" spans="1:23" s="61" customFormat="1" x14ac:dyDescent="0.3">
      <c r="A94" s="27" t="s">
        <v>28</v>
      </c>
      <c r="B94" s="82" t="s">
        <v>161</v>
      </c>
      <c r="C94" s="83">
        <v>45062</v>
      </c>
      <c r="D94" s="27" t="s">
        <v>162</v>
      </c>
      <c r="E94" s="64">
        <v>20</v>
      </c>
      <c r="F94" s="31">
        <v>9</v>
      </c>
      <c r="G94" s="31">
        <f t="shared" si="1"/>
        <v>11</v>
      </c>
      <c r="H94" s="19">
        <v>46521</v>
      </c>
      <c r="I94" s="32" t="s">
        <v>163</v>
      </c>
      <c r="J94" s="33"/>
      <c r="K94" s="84"/>
      <c r="L94" s="34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</row>
    <row r="95" spans="1:23" s="61" customFormat="1" x14ac:dyDescent="0.3">
      <c r="A95" s="27" t="s">
        <v>60</v>
      </c>
      <c r="B95" s="25" t="s">
        <v>164</v>
      </c>
      <c r="C95" s="16">
        <v>45408</v>
      </c>
      <c r="D95" s="63" t="s">
        <v>165</v>
      </c>
      <c r="E95" s="28">
        <v>5</v>
      </c>
      <c r="F95" s="31">
        <v>0</v>
      </c>
      <c r="G95" s="31">
        <f t="shared" si="1"/>
        <v>5</v>
      </c>
      <c r="H95" s="19">
        <v>46418</v>
      </c>
      <c r="I95" s="32" t="s">
        <v>163</v>
      </c>
      <c r="J95" s="33"/>
      <c r="K95" s="79"/>
      <c r="L95" s="34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</row>
    <row r="96" spans="1:23" s="61" customFormat="1" x14ac:dyDescent="0.3">
      <c r="A96" s="27" t="s">
        <v>60</v>
      </c>
      <c r="B96" s="25" t="s">
        <v>166</v>
      </c>
      <c r="C96" s="16">
        <v>45408</v>
      </c>
      <c r="D96" s="63" t="s">
        <v>167</v>
      </c>
      <c r="E96" s="28">
        <v>5</v>
      </c>
      <c r="F96" s="31">
        <v>0</v>
      </c>
      <c r="G96" s="31">
        <f t="shared" si="1"/>
        <v>5</v>
      </c>
      <c r="H96" s="19">
        <v>46418</v>
      </c>
      <c r="I96" s="32" t="s">
        <v>163</v>
      </c>
      <c r="J96" s="33"/>
      <c r="K96" s="79"/>
      <c r="L96" s="34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 spans="1:23" s="61" customFormat="1" x14ac:dyDescent="0.3">
      <c r="A97" s="27" t="s">
        <v>28</v>
      </c>
      <c r="B97" s="15" t="s">
        <v>168</v>
      </c>
      <c r="C97" s="16">
        <v>45632</v>
      </c>
      <c r="D97" s="27" t="s">
        <v>169</v>
      </c>
      <c r="E97" s="28">
        <v>3</v>
      </c>
      <c r="F97" s="31">
        <v>0</v>
      </c>
      <c r="G97" s="31">
        <f t="shared" si="1"/>
        <v>3</v>
      </c>
      <c r="H97" s="19">
        <v>46362</v>
      </c>
      <c r="I97" s="32" t="s">
        <v>163</v>
      </c>
      <c r="J97" s="33"/>
      <c r="K97" s="33"/>
      <c r="L97" s="34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</row>
    <row r="98" spans="1:23" s="61" customFormat="1" x14ac:dyDescent="0.3">
      <c r="A98" s="85" t="s">
        <v>20</v>
      </c>
      <c r="B98" s="15" t="s">
        <v>170</v>
      </c>
      <c r="C98" s="16">
        <v>45684</v>
      </c>
      <c r="D98" s="27" t="s">
        <v>171</v>
      </c>
      <c r="E98" s="28">
        <v>24</v>
      </c>
      <c r="F98" s="31">
        <v>0</v>
      </c>
      <c r="G98" s="31">
        <f t="shared" si="1"/>
        <v>24</v>
      </c>
      <c r="H98" s="19">
        <v>46421</v>
      </c>
      <c r="I98" s="32" t="s">
        <v>163</v>
      </c>
      <c r="J98" s="33"/>
      <c r="K98" s="79"/>
      <c r="L98" s="34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</row>
    <row r="99" spans="1:23" s="61" customFormat="1" ht="13.8" x14ac:dyDescent="0.3">
      <c r="A99" s="72" t="s">
        <v>172</v>
      </c>
      <c r="B99" s="15" t="s">
        <v>173</v>
      </c>
      <c r="C99" s="16">
        <v>45919</v>
      </c>
      <c r="D99" s="27" t="s">
        <v>174</v>
      </c>
      <c r="E99" s="28">
        <v>4</v>
      </c>
      <c r="F99" s="31">
        <v>1</v>
      </c>
      <c r="G99" s="31">
        <f t="shared" si="1"/>
        <v>3</v>
      </c>
      <c r="H99" s="74" t="s">
        <v>175</v>
      </c>
      <c r="I99" s="32" t="s">
        <v>163</v>
      </c>
      <c r="J99" s="33"/>
      <c r="K99" s="33"/>
      <c r="L99" s="34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 spans="1:23" s="61" customFormat="1" ht="13.8" x14ac:dyDescent="0.3">
      <c r="A100" s="72" t="s">
        <v>172</v>
      </c>
      <c r="B100" s="15" t="s">
        <v>176</v>
      </c>
      <c r="C100" s="16">
        <v>45919</v>
      </c>
      <c r="D100" s="27" t="s">
        <v>177</v>
      </c>
      <c r="E100" s="28">
        <v>3</v>
      </c>
      <c r="F100" s="31">
        <v>0</v>
      </c>
      <c r="G100" s="31">
        <f t="shared" si="1"/>
        <v>3</v>
      </c>
      <c r="H100" s="74" t="s">
        <v>175</v>
      </c>
      <c r="I100" s="32" t="s">
        <v>163</v>
      </c>
      <c r="J100" s="33"/>
      <c r="K100" s="33"/>
      <c r="L100" s="34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</row>
    <row r="101" spans="1:23" s="61" customFormat="1" ht="13.8" x14ac:dyDescent="0.3">
      <c r="A101" s="72" t="s">
        <v>172</v>
      </c>
      <c r="B101" s="15" t="s">
        <v>178</v>
      </c>
      <c r="C101" s="16">
        <v>45888</v>
      </c>
      <c r="D101" s="27" t="s">
        <v>177</v>
      </c>
      <c r="E101" s="28">
        <v>1</v>
      </c>
      <c r="F101" s="31">
        <v>0</v>
      </c>
      <c r="G101" s="31">
        <f t="shared" si="1"/>
        <v>1</v>
      </c>
      <c r="H101" s="74" t="s">
        <v>175</v>
      </c>
      <c r="I101" s="32" t="s">
        <v>163</v>
      </c>
      <c r="J101" s="33"/>
      <c r="K101" s="33"/>
      <c r="L101" s="34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</row>
    <row r="102" spans="1:23" s="61" customFormat="1" x14ac:dyDescent="0.3">
      <c r="A102" s="29" t="s">
        <v>179</v>
      </c>
      <c r="B102" s="25" t="s">
        <v>180</v>
      </c>
      <c r="C102" s="26">
        <v>45947</v>
      </c>
      <c r="D102" s="30" t="s">
        <v>181</v>
      </c>
      <c r="E102" s="28">
        <v>31</v>
      </c>
      <c r="F102" s="31">
        <v>2</v>
      </c>
      <c r="G102" s="31">
        <f t="shared" si="1"/>
        <v>29</v>
      </c>
      <c r="H102" s="19">
        <f>+C102+60</f>
        <v>46007</v>
      </c>
      <c r="I102" s="32" t="s">
        <v>163</v>
      </c>
      <c r="J102" s="33"/>
      <c r="K102" s="33"/>
      <c r="L102" s="34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</row>
    <row r="103" spans="1:23" s="61" customFormat="1" x14ac:dyDescent="0.3">
      <c r="A103" s="29" t="s">
        <v>179</v>
      </c>
      <c r="B103" s="25" t="s">
        <v>182</v>
      </c>
      <c r="C103" s="26">
        <v>45947</v>
      </c>
      <c r="D103" s="30" t="s">
        <v>183</v>
      </c>
      <c r="E103" s="28">
        <v>9</v>
      </c>
      <c r="F103" s="31">
        <v>2</v>
      </c>
      <c r="G103" s="31">
        <f t="shared" si="1"/>
        <v>7</v>
      </c>
      <c r="H103" s="19">
        <f>+C103+60</f>
        <v>46007</v>
      </c>
      <c r="I103" s="32" t="s">
        <v>163</v>
      </c>
      <c r="J103" s="33"/>
      <c r="K103" s="33"/>
      <c r="L103" s="34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 spans="1:23" s="61" customFormat="1" x14ac:dyDescent="0.3">
      <c r="A104" s="29" t="s">
        <v>23</v>
      </c>
      <c r="B104" s="25" t="s">
        <v>24</v>
      </c>
      <c r="C104" s="26">
        <v>45999</v>
      </c>
      <c r="D104" s="30" t="s">
        <v>184</v>
      </c>
      <c r="E104" s="28">
        <v>3</v>
      </c>
      <c r="F104" s="31">
        <v>0</v>
      </c>
      <c r="G104" s="31">
        <f t="shared" si="1"/>
        <v>3</v>
      </c>
      <c r="H104" s="19">
        <f>+C104+180</f>
        <v>46179</v>
      </c>
      <c r="I104" s="32" t="s">
        <v>163</v>
      </c>
      <c r="J104" s="33"/>
      <c r="K104" s="33"/>
      <c r="L104" s="34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</row>
    <row r="105" spans="1:23" s="61" customFormat="1" x14ac:dyDescent="0.3">
      <c r="A105" s="29" t="s">
        <v>23</v>
      </c>
      <c r="B105" s="25" t="s">
        <v>24</v>
      </c>
      <c r="C105" s="26">
        <v>45999</v>
      </c>
      <c r="D105" s="30" t="s">
        <v>185</v>
      </c>
      <c r="E105" s="28">
        <v>3</v>
      </c>
      <c r="F105" s="31">
        <v>0</v>
      </c>
      <c r="G105" s="31">
        <f t="shared" si="1"/>
        <v>3</v>
      </c>
      <c r="H105" s="19">
        <f>+C105+180</f>
        <v>46179</v>
      </c>
      <c r="I105" s="32" t="s">
        <v>163</v>
      </c>
      <c r="J105" s="33"/>
      <c r="K105" s="33"/>
      <c r="L105" s="34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</row>
    <row r="106" spans="1:23" s="61" customFormat="1" x14ac:dyDescent="0.3">
      <c r="A106" s="29" t="s">
        <v>179</v>
      </c>
      <c r="B106" s="25" t="s">
        <v>186</v>
      </c>
      <c r="C106" s="26">
        <v>46051</v>
      </c>
      <c r="D106" s="30" t="s">
        <v>187</v>
      </c>
      <c r="E106" s="28">
        <v>35</v>
      </c>
      <c r="F106" s="31">
        <v>0</v>
      </c>
      <c r="G106" s="31">
        <f t="shared" si="1"/>
        <v>35</v>
      </c>
      <c r="H106" s="19">
        <v>46233</v>
      </c>
      <c r="I106" s="32" t="s">
        <v>163</v>
      </c>
      <c r="J106" s="33"/>
      <c r="K106" s="33"/>
      <c r="L106" s="34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 spans="1:23" s="61" customFormat="1" x14ac:dyDescent="0.3">
      <c r="A107" s="72" t="s">
        <v>188</v>
      </c>
      <c r="B107" s="39">
        <v>5600002832</v>
      </c>
      <c r="C107" s="26">
        <v>46063</v>
      </c>
      <c r="D107" s="30" t="s">
        <v>189</v>
      </c>
      <c r="E107" s="28">
        <v>1</v>
      </c>
      <c r="F107" s="31">
        <v>0</v>
      </c>
      <c r="G107" s="31">
        <f t="shared" si="1"/>
        <v>1</v>
      </c>
      <c r="H107" s="19">
        <v>46084</v>
      </c>
      <c r="I107" s="32" t="s">
        <v>163</v>
      </c>
      <c r="J107" s="33"/>
      <c r="K107" s="33"/>
      <c r="L107" s="34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</row>
    <row r="108" spans="1:23" s="61" customFormat="1" x14ac:dyDescent="0.3">
      <c r="A108" s="29" t="s">
        <v>190</v>
      </c>
      <c r="B108" s="39" t="s">
        <v>191</v>
      </c>
      <c r="C108" s="26">
        <v>46076</v>
      </c>
      <c r="D108" s="30" t="s">
        <v>192</v>
      </c>
      <c r="E108" s="28">
        <v>525</v>
      </c>
      <c r="F108" s="31">
        <v>0</v>
      </c>
      <c r="G108" s="31">
        <f t="shared" si="1"/>
        <v>525</v>
      </c>
      <c r="H108" s="19">
        <f>+C108+28</f>
        <v>46104</v>
      </c>
      <c r="I108" s="32" t="s">
        <v>163</v>
      </c>
      <c r="J108" s="33"/>
      <c r="K108" s="86"/>
      <c r="L108" s="34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</row>
    <row r="109" spans="1:23" s="61" customFormat="1" x14ac:dyDescent="0.3">
      <c r="A109" s="29" t="s">
        <v>190</v>
      </c>
      <c r="B109" s="39" t="s">
        <v>191</v>
      </c>
      <c r="C109" s="26">
        <v>46076</v>
      </c>
      <c r="D109" s="30" t="s">
        <v>193</v>
      </c>
      <c r="E109" s="28">
        <v>40</v>
      </c>
      <c r="F109" s="31">
        <v>0</v>
      </c>
      <c r="G109" s="31">
        <f t="shared" si="1"/>
        <v>40</v>
      </c>
      <c r="H109" s="19">
        <f>+C109+28</f>
        <v>46104</v>
      </c>
      <c r="I109" s="32" t="s">
        <v>163</v>
      </c>
      <c r="J109" s="33"/>
      <c r="K109" s="79"/>
      <c r="L109" s="34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</row>
    <row r="110" spans="1:23" s="61" customFormat="1" x14ac:dyDescent="0.3">
      <c r="A110" s="29" t="s">
        <v>194</v>
      </c>
      <c r="B110" s="39">
        <v>4500601363</v>
      </c>
      <c r="C110" s="26">
        <v>46111</v>
      </c>
      <c r="D110" s="30" t="s">
        <v>195</v>
      </c>
      <c r="E110" s="28">
        <v>4</v>
      </c>
      <c r="F110" s="31">
        <v>0</v>
      </c>
      <c r="G110" s="31">
        <f t="shared" si="1"/>
        <v>4</v>
      </c>
      <c r="H110" s="19"/>
      <c r="I110" s="32" t="s">
        <v>163</v>
      </c>
      <c r="J110" s="33"/>
      <c r="K110" s="33"/>
      <c r="L110" s="34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</row>
    <row r="111" spans="1:23" s="61" customFormat="1" ht="27.6" x14ac:dyDescent="0.3">
      <c r="A111" s="29" t="s">
        <v>23</v>
      </c>
      <c r="B111" s="25" t="s">
        <v>65</v>
      </c>
      <c r="C111" s="26">
        <v>46104</v>
      </c>
      <c r="D111" s="30" t="s">
        <v>196</v>
      </c>
      <c r="E111" s="28">
        <v>1</v>
      </c>
      <c r="F111" s="31">
        <v>0</v>
      </c>
      <c r="G111" s="31">
        <f t="shared" si="1"/>
        <v>1</v>
      </c>
      <c r="H111" s="19">
        <v>46203</v>
      </c>
      <c r="I111" s="32" t="s">
        <v>163</v>
      </c>
      <c r="J111" s="33"/>
      <c r="K111" s="33"/>
      <c r="L111" s="34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</row>
    <row r="112" spans="1:23" s="61" customFormat="1" ht="27.6" x14ac:dyDescent="0.3">
      <c r="A112" s="27" t="s">
        <v>28</v>
      </c>
      <c r="B112" s="15" t="s">
        <v>168</v>
      </c>
      <c r="C112" s="16">
        <v>45632</v>
      </c>
      <c r="D112" s="27" t="s">
        <v>197</v>
      </c>
      <c r="E112" s="28">
        <v>3</v>
      </c>
      <c r="F112" s="31">
        <v>0</v>
      </c>
      <c r="G112" s="31">
        <f t="shared" si="1"/>
        <v>3</v>
      </c>
      <c r="H112" s="19">
        <v>46362</v>
      </c>
      <c r="I112" s="32" t="s">
        <v>163</v>
      </c>
      <c r="J112" s="33"/>
      <c r="K112" s="33"/>
      <c r="L112" s="34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 spans="1:23" s="61" customFormat="1" x14ac:dyDescent="0.3">
      <c r="A113" s="27" t="s">
        <v>198</v>
      </c>
      <c r="B113" s="39" t="s">
        <v>199</v>
      </c>
      <c r="C113" s="26">
        <v>46127</v>
      </c>
      <c r="D113" s="30" t="s">
        <v>200</v>
      </c>
      <c r="E113" s="28">
        <v>1</v>
      </c>
      <c r="F113" s="31"/>
      <c r="G113" s="31">
        <f t="shared" si="1"/>
        <v>1</v>
      </c>
      <c r="H113" s="19">
        <f>C113+60</f>
        <v>46187</v>
      </c>
      <c r="I113" s="32" t="s">
        <v>163</v>
      </c>
      <c r="J113" s="75"/>
      <c r="K113" s="75"/>
      <c r="L113" s="87"/>
      <c r="M113" s="75"/>
      <c r="N113" s="75"/>
      <c r="O113" s="75"/>
      <c r="P113" s="75"/>
      <c r="Q113" s="75"/>
      <c r="R113" s="75"/>
      <c r="S113" s="75"/>
      <c r="T113" s="75"/>
      <c r="U113" s="75"/>
      <c r="V113" s="33"/>
      <c r="W113" s="33"/>
    </row>
    <row r="114" spans="1:23" s="61" customFormat="1" ht="27.6" x14ac:dyDescent="0.3">
      <c r="A114" s="27" t="s">
        <v>201</v>
      </c>
      <c r="B114" s="39" t="s">
        <v>202</v>
      </c>
      <c r="C114" s="26">
        <v>46163</v>
      </c>
      <c r="D114" s="30" t="s">
        <v>203</v>
      </c>
      <c r="E114" s="28">
        <v>2</v>
      </c>
      <c r="F114" s="31"/>
      <c r="G114" s="31">
        <f t="shared" si="1"/>
        <v>2</v>
      </c>
      <c r="H114" s="19">
        <v>46254</v>
      </c>
      <c r="I114" s="32" t="s">
        <v>163</v>
      </c>
      <c r="J114" s="75"/>
      <c r="K114" s="75"/>
      <c r="L114" s="88"/>
      <c r="M114" s="75"/>
      <c r="N114" s="75"/>
      <c r="O114" s="75"/>
      <c r="P114" s="75"/>
      <c r="Q114" s="75"/>
      <c r="R114" s="75"/>
      <c r="S114" s="75"/>
      <c r="T114" s="75"/>
      <c r="U114" s="75"/>
      <c r="V114" s="33"/>
      <c r="W114" s="33"/>
    </row>
    <row r="115" spans="1:23" s="61" customFormat="1" ht="13.8" x14ac:dyDescent="0.3">
      <c r="A115" s="27" t="s">
        <v>188</v>
      </c>
      <c r="B115" s="39">
        <v>5600003150</v>
      </c>
      <c r="C115" s="26">
        <v>46162</v>
      </c>
      <c r="D115" s="30" t="s">
        <v>204</v>
      </c>
      <c r="E115" s="28">
        <v>1</v>
      </c>
      <c r="F115" s="31"/>
      <c r="G115" s="31">
        <f t="shared" si="1"/>
        <v>1</v>
      </c>
      <c r="H115" s="89" t="s">
        <v>205</v>
      </c>
      <c r="I115" s="32" t="s">
        <v>163</v>
      </c>
      <c r="J115" s="75"/>
      <c r="K115" s="75"/>
      <c r="L115" s="88"/>
      <c r="M115" s="75"/>
      <c r="N115" s="75"/>
      <c r="O115" s="75"/>
      <c r="P115" s="75"/>
      <c r="Q115" s="75"/>
      <c r="R115" s="75"/>
      <c r="S115" s="75"/>
      <c r="T115" s="75"/>
      <c r="U115" s="75"/>
      <c r="V115" s="33"/>
      <c r="W115" s="33"/>
    </row>
    <row r="116" spans="1:23" s="61" customFormat="1" x14ac:dyDescent="0.3">
      <c r="A116" s="27" t="s">
        <v>128</v>
      </c>
      <c r="B116" s="15" t="s">
        <v>206</v>
      </c>
      <c r="C116" s="16">
        <v>45231</v>
      </c>
      <c r="D116" s="27" t="s">
        <v>207</v>
      </c>
      <c r="E116" s="64">
        <v>2</v>
      </c>
      <c r="F116" s="31">
        <v>1</v>
      </c>
      <c r="G116" s="31">
        <f t="shared" si="1"/>
        <v>1</v>
      </c>
      <c r="H116" s="19">
        <v>45306</v>
      </c>
      <c r="I116" s="32" t="s">
        <v>208</v>
      </c>
      <c r="J116" s="33"/>
      <c r="K116" s="33"/>
      <c r="L116" s="34"/>
      <c r="M116" s="90"/>
      <c r="N116" s="90"/>
      <c r="O116" s="33"/>
      <c r="P116" s="33"/>
      <c r="Q116" s="33"/>
      <c r="R116" s="33"/>
      <c r="S116" s="33"/>
      <c r="T116" s="33"/>
      <c r="U116" s="33"/>
      <c r="V116" s="33"/>
      <c r="W116" s="33"/>
    </row>
    <row r="117" spans="1:23" s="61" customFormat="1" x14ac:dyDescent="0.3">
      <c r="A117" s="27" t="s">
        <v>28</v>
      </c>
      <c r="B117" s="25" t="s">
        <v>209</v>
      </c>
      <c r="C117" s="16">
        <v>45309</v>
      </c>
      <c r="D117" s="63" t="s">
        <v>210</v>
      </c>
      <c r="E117" s="64">
        <v>6</v>
      </c>
      <c r="F117" s="31">
        <v>4</v>
      </c>
      <c r="G117" s="31">
        <f t="shared" si="1"/>
        <v>2</v>
      </c>
      <c r="H117" s="19">
        <v>46405</v>
      </c>
      <c r="I117" s="32" t="s">
        <v>208</v>
      </c>
      <c r="J117" s="33"/>
      <c r="K117" s="33"/>
      <c r="L117" s="91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</row>
    <row r="118" spans="1:23" s="61" customFormat="1" x14ac:dyDescent="0.3">
      <c r="A118" s="27" t="s">
        <v>28</v>
      </c>
      <c r="B118" s="25" t="s">
        <v>209</v>
      </c>
      <c r="C118" s="16">
        <v>45309</v>
      </c>
      <c r="D118" s="63" t="s">
        <v>211</v>
      </c>
      <c r="E118" s="64">
        <v>6</v>
      </c>
      <c r="F118" s="31">
        <v>4</v>
      </c>
      <c r="G118" s="31">
        <f t="shared" si="1"/>
        <v>2</v>
      </c>
      <c r="H118" s="19">
        <v>46405</v>
      </c>
      <c r="I118" s="32" t="s">
        <v>208</v>
      </c>
      <c r="J118" s="33"/>
      <c r="K118" s="86"/>
      <c r="L118" s="34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</row>
    <row r="119" spans="1:23" s="61" customFormat="1" ht="13.8" x14ac:dyDescent="0.3">
      <c r="A119" s="27" t="s">
        <v>212</v>
      </c>
      <c r="B119" s="42" t="s">
        <v>213</v>
      </c>
      <c r="C119" s="16">
        <v>45483</v>
      </c>
      <c r="D119" s="63" t="s">
        <v>214</v>
      </c>
      <c r="E119" s="28">
        <v>9</v>
      </c>
      <c r="F119" s="31">
        <v>5</v>
      </c>
      <c r="G119" s="31">
        <f t="shared" si="1"/>
        <v>4</v>
      </c>
      <c r="H119" s="74" t="s">
        <v>215</v>
      </c>
      <c r="I119" s="32" t="s">
        <v>208</v>
      </c>
      <c r="J119" s="92"/>
      <c r="K119" s="33"/>
      <c r="L119" s="34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</row>
    <row r="120" spans="1:23" s="61" customFormat="1" ht="13.8" x14ac:dyDescent="0.3">
      <c r="A120" s="27" t="s">
        <v>212</v>
      </c>
      <c r="B120" s="42" t="s">
        <v>213</v>
      </c>
      <c r="C120" s="16">
        <v>45483</v>
      </c>
      <c r="D120" s="63" t="s">
        <v>216</v>
      </c>
      <c r="E120" s="28">
        <v>11</v>
      </c>
      <c r="F120" s="31">
        <v>5</v>
      </c>
      <c r="G120" s="31">
        <f t="shared" si="1"/>
        <v>6</v>
      </c>
      <c r="H120" s="74" t="s">
        <v>215</v>
      </c>
      <c r="I120" s="32" t="s">
        <v>208</v>
      </c>
      <c r="J120" s="92"/>
      <c r="K120" s="33"/>
      <c r="L120" s="34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</row>
    <row r="121" spans="1:23" s="61" customFormat="1" x14ac:dyDescent="0.3">
      <c r="A121" s="27" t="s">
        <v>217</v>
      </c>
      <c r="B121" s="42">
        <v>6930008257</v>
      </c>
      <c r="C121" s="16">
        <v>45513</v>
      </c>
      <c r="D121" s="27" t="s">
        <v>218</v>
      </c>
      <c r="E121" s="28">
        <v>30</v>
      </c>
      <c r="F121" s="31">
        <v>1</v>
      </c>
      <c r="G121" s="31">
        <f t="shared" si="1"/>
        <v>29</v>
      </c>
      <c r="H121" s="19">
        <v>45929</v>
      </c>
      <c r="I121" s="32" t="s">
        <v>208</v>
      </c>
      <c r="J121" s="33"/>
      <c r="K121" s="33"/>
      <c r="L121" s="34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</row>
    <row r="122" spans="1:23" s="61" customFormat="1" x14ac:dyDescent="0.3">
      <c r="A122" s="27" t="s">
        <v>217</v>
      </c>
      <c r="B122" s="42">
        <v>6930008257</v>
      </c>
      <c r="C122" s="16">
        <v>45513</v>
      </c>
      <c r="D122" s="27" t="s">
        <v>219</v>
      </c>
      <c r="E122" s="28">
        <v>30</v>
      </c>
      <c r="F122" s="31">
        <v>1</v>
      </c>
      <c r="G122" s="31">
        <f t="shared" si="1"/>
        <v>29</v>
      </c>
      <c r="H122" s="19">
        <v>45929</v>
      </c>
      <c r="I122" s="32" t="s">
        <v>208</v>
      </c>
      <c r="J122" s="33"/>
      <c r="K122" s="33"/>
      <c r="L122" s="34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</row>
    <row r="123" spans="1:23" s="61" customFormat="1" x14ac:dyDescent="0.3">
      <c r="A123" s="27" t="s">
        <v>217</v>
      </c>
      <c r="B123" s="42">
        <v>6930008257</v>
      </c>
      <c r="C123" s="16">
        <v>45513</v>
      </c>
      <c r="D123" s="27" t="s">
        <v>220</v>
      </c>
      <c r="E123" s="28">
        <v>30</v>
      </c>
      <c r="F123" s="31">
        <v>1</v>
      </c>
      <c r="G123" s="31">
        <f t="shared" si="1"/>
        <v>29</v>
      </c>
      <c r="H123" s="19">
        <v>45929</v>
      </c>
      <c r="I123" s="32" t="s">
        <v>208</v>
      </c>
      <c r="J123" s="33"/>
      <c r="K123" s="33"/>
      <c r="L123" s="34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</row>
    <row r="124" spans="1:23" s="61" customFormat="1" x14ac:dyDescent="0.3">
      <c r="A124" s="27" t="s">
        <v>217</v>
      </c>
      <c r="B124" s="42">
        <v>6930008257</v>
      </c>
      <c r="C124" s="16">
        <v>45513</v>
      </c>
      <c r="D124" s="27" t="s">
        <v>221</v>
      </c>
      <c r="E124" s="28">
        <v>30</v>
      </c>
      <c r="F124" s="31">
        <v>1</v>
      </c>
      <c r="G124" s="31">
        <f t="shared" si="1"/>
        <v>29</v>
      </c>
      <c r="H124" s="19">
        <v>45929</v>
      </c>
      <c r="I124" s="32" t="s">
        <v>208</v>
      </c>
      <c r="J124" s="33"/>
      <c r="K124" s="33"/>
      <c r="L124" s="34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</row>
    <row r="125" spans="1:23" s="61" customFormat="1" x14ac:dyDescent="0.3">
      <c r="A125" s="27" t="s">
        <v>217</v>
      </c>
      <c r="B125" s="42">
        <v>6930008257</v>
      </c>
      <c r="C125" s="16">
        <v>45513</v>
      </c>
      <c r="D125" s="27" t="s">
        <v>222</v>
      </c>
      <c r="E125" s="28">
        <v>30</v>
      </c>
      <c r="F125" s="31">
        <v>1</v>
      </c>
      <c r="G125" s="31">
        <f t="shared" si="1"/>
        <v>29</v>
      </c>
      <c r="H125" s="19">
        <v>45929</v>
      </c>
      <c r="I125" s="32" t="s">
        <v>208</v>
      </c>
      <c r="J125" s="33"/>
      <c r="K125" s="33"/>
      <c r="L125" s="34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</row>
    <row r="126" spans="1:23" s="61" customFormat="1" x14ac:dyDescent="0.3">
      <c r="A126" s="27" t="s">
        <v>217</v>
      </c>
      <c r="B126" s="42">
        <v>6930008257</v>
      </c>
      <c r="C126" s="16">
        <v>45513</v>
      </c>
      <c r="D126" s="27" t="s">
        <v>223</v>
      </c>
      <c r="E126" s="28">
        <v>30</v>
      </c>
      <c r="F126" s="31">
        <v>1</v>
      </c>
      <c r="G126" s="31">
        <f t="shared" si="1"/>
        <v>29</v>
      </c>
      <c r="H126" s="19">
        <v>45929</v>
      </c>
      <c r="I126" s="32" t="s">
        <v>208</v>
      </c>
      <c r="J126" s="33"/>
      <c r="K126" s="33"/>
      <c r="L126" s="34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 spans="1:23" s="61" customFormat="1" x14ac:dyDescent="0.3">
      <c r="A127" s="27" t="s">
        <v>217</v>
      </c>
      <c r="B127" s="42">
        <v>6930008257</v>
      </c>
      <c r="C127" s="16">
        <v>45513</v>
      </c>
      <c r="D127" s="27" t="s">
        <v>224</v>
      </c>
      <c r="E127" s="28">
        <v>30</v>
      </c>
      <c r="F127" s="31">
        <v>1</v>
      </c>
      <c r="G127" s="31">
        <f t="shared" si="1"/>
        <v>29</v>
      </c>
      <c r="H127" s="19">
        <v>45929</v>
      </c>
      <c r="I127" s="32" t="s">
        <v>208</v>
      </c>
      <c r="J127" s="33"/>
      <c r="K127" s="33"/>
      <c r="L127" s="34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</row>
    <row r="128" spans="1:23" s="94" customFormat="1" ht="17.399999999999999" customHeight="1" x14ac:dyDescent="0.3">
      <c r="A128" s="27" t="s">
        <v>217</v>
      </c>
      <c r="B128" s="42">
        <v>6930008257</v>
      </c>
      <c r="C128" s="16">
        <v>45513</v>
      </c>
      <c r="D128" s="27" t="s">
        <v>225</v>
      </c>
      <c r="E128" s="28">
        <v>30</v>
      </c>
      <c r="F128" s="31">
        <v>1</v>
      </c>
      <c r="G128" s="31">
        <f t="shared" si="1"/>
        <v>29</v>
      </c>
      <c r="H128" s="19">
        <v>45929</v>
      </c>
      <c r="I128" s="32" t="s">
        <v>208</v>
      </c>
      <c r="J128" s="33"/>
      <c r="K128" s="33"/>
      <c r="L128" s="34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93"/>
    </row>
    <row r="129" spans="1:23" s="61" customFormat="1" x14ac:dyDescent="0.3">
      <c r="A129" s="27" t="s">
        <v>217</v>
      </c>
      <c r="B129" s="42">
        <v>6930008257</v>
      </c>
      <c r="C129" s="16">
        <v>45513</v>
      </c>
      <c r="D129" s="27" t="s">
        <v>226</v>
      </c>
      <c r="E129" s="28">
        <v>30</v>
      </c>
      <c r="F129" s="31">
        <v>1</v>
      </c>
      <c r="G129" s="31">
        <f t="shared" si="1"/>
        <v>29</v>
      </c>
      <c r="H129" s="19">
        <v>45745</v>
      </c>
      <c r="I129" s="32" t="s">
        <v>208</v>
      </c>
      <c r="J129" s="33"/>
      <c r="K129" s="33"/>
      <c r="L129" s="34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</row>
    <row r="130" spans="1:23" s="61" customFormat="1" x14ac:dyDescent="0.3">
      <c r="A130" s="29" t="s">
        <v>139</v>
      </c>
      <c r="B130" s="39" t="s">
        <v>227</v>
      </c>
      <c r="C130" s="26">
        <v>45684</v>
      </c>
      <c r="D130" s="30" t="s">
        <v>228</v>
      </c>
      <c r="E130" s="28">
        <v>2</v>
      </c>
      <c r="F130" s="31">
        <v>1</v>
      </c>
      <c r="G130" s="31">
        <f t="shared" si="1"/>
        <v>1</v>
      </c>
      <c r="H130" s="19">
        <v>45746</v>
      </c>
      <c r="I130" s="32" t="s">
        <v>208</v>
      </c>
      <c r="J130" s="33"/>
      <c r="K130" s="33"/>
      <c r="L130" s="34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1" spans="1:23" s="61" customFormat="1" x14ac:dyDescent="0.3">
      <c r="A131" s="29" t="s">
        <v>201</v>
      </c>
      <c r="B131" s="25" t="s">
        <v>229</v>
      </c>
      <c r="C131" s="26">
        <v>46044</v>
      </c>
      <c r="D131" s="27" t="s">
        <v>230</v>
      </c>
      <c r="E131" s="28">
        <v>4</v>
      </c>
      <c r="F131" s="31">
        <v>0</v>
      </c>
      <c r="G131" s="31">
        <f t="shared" ref="G131:G183" si="3">E131-F131</f>
        <v>4</v>
      </c>
      <c r="H131" s="19">
        <v>46206</v>
      </c>
      <c r="I131" s="32" t="s">
        <v>231</v>
      </c>
      <c r="J131" s="33"/>
      <c r="K131" s="33"/>
      <c r="L131" s="34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</row>
    <row r="132" spans="1:23" s="61" customFormat="1" ht="13.8" customHeight="1" x14ac:dyDescent="0.3">
      <c r="A132" s="27" t="s">
        <v>40</v>
      </c>
      <c r="B132" s="39" t="s">
        <v>232</v>
      </c>
      <c r="C132" s="16">
        <v>44215</v>
      </c>
      <c r="D132" s="27" t="s">
        <v>233</v>
      </c>
      <c r="E132" s="64">
        <v>10</v>
      </c>
      <c r="F132" s="31">
        <v>7</v>
      </c>
      <c r="G132" s="31">
        <f t="shared" si="3"/>
        <v>3</v>
      </c>
      <c r="H132" s="19">
        <v>46386</v>
      </c>
      <c r="I132" s="32" t="s">
        <v>231</v>
      </c>
      <c r="J132" s="93"/>
      <c r="K132" s="95"/>
      <c r="L132" s="96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33"/>
    </row>
    <row r="133" spans="1:23" s="61" customFormat="1" x14ac:dyDescent="0.3">
      <c r="A133" s="27" t="s">
        <v>146</v>
      </c>
      <c r="B133" s="15" t="s">
        <v>234</v>
      </c>
      <c r="C133" s="16">
        <v>45428</v>
      </c>
      <c r="D133" s="27" t="s">
        <v>235</v>
      </c>
      <c r="E133" s="28">
        <v>1</v>
      </c>
      <c r="F133" s="31">
        <v>0</v>
      </c>
      <c r="G133" s="31">
        <f t="shared" si="3"/>
        <v>1</v>
      </c>
      <c r="H133" s="19">
        <v>45549</v>
      </c>
      <c r="I133" s="32" t="s">
        <v>231</v>
      </c>
      <c r="J133" s="33"/>
      <c r="K133" s="33"/>
      <c r="L133" s="34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</row>
    <row r="134" spans="1:23" s="61" customFormat="1" ht="13.8" x14ac:dyDescent="0.3">
      <c r="A134" s="97" t="s">
        <v>146</v>
      </c>
      <c r="B134" s="15" t="s">
        <v>236</v>
      </c>
      <c r="C134" s="16">
        <v>45446</v>
      </c>
      <c r="D134" s="27" t="s">
        <v>237</v>
      </c>
      <c r="E134" s="28">
        <v>2</v>
      </c>
      <c r="F134" s="31">
        <v>1</v>
      </c>
      <c r="G134" s="31">
        <f t="shared" si="3"/>
        <v>1</v>
      </c>
      <c r="H134" s="98" t="s">
        <v>238</v>
      </c>
      <c r="I134" s="32" t="s">
        <v>231</v>
      </c>
      <c r="J134" s="33"/>
      <c r="K134" s="33"/>
      <c r="L134" s="34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  <row r="135" spans="1:23" s="61" customFormat="1" ht="13.8" x14ac:dyDescent="0.3">
      <c r="A135" s="97" t="s">
        <v>146</v>
      </c>
      <c r="B135" s="15" t="s">
        <v>236</v>
      </c>
      <c r="C135" s="16">
        <v>45446</v>
      </c>
      <c r="D135" s="27" t="s">
        <v>239</v>
      </c>
      <c r="E135" s="28">
        <v>5</v>
      </c>
      <c r="F135" s="31">
        <v>0</v>
      </c>
      <c r="G135" s="31">
        <f t="shared" si="3"/>
        <v>5</v>
      </c>
      <c r="H135" s="98" t="s">
        <v>238</v>
      </c>
      <c r="I135" s="32" t="s">
        <v>231</v>
      </c>
      <c r="J135" s="33"/>
      <c r="K135" s="33"/>
      <c r="L135" s="34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</row>
    <row r="136" spans="1:23" s="61" customFormat="1" x14ac:dyDescent="0.3">
      <c r="A136" s="27" t="s">
        <v>139</v>
      </c>
      <c r="B136" s="15" t="s">
        <v>240</v>
      </c>
      <c r="C136" s="16">
        <v>45629</v>
      </c>
      <c r="D136" s="27" t="s">
        <v>241</v>
      </c>
      <c r="E136" s="28">
        <v>8</v>
      </c>
      <c r="F136" s="31">
        <v>7</v>
      </c>
      <c r="G136" s="31">
        <f t="shared" si="3"/>
        <v>1</v>
      </c>
      <c r="H136" s="19">
        <v>45656</v>
      </c>
      <c r="I136" s="32" t="s">
        <v>231</v>
      </c>
      <c r="J136" s="33"/>
      <c r="K136" s="99"/>
      <c r="L136" s="34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</row>
    <row r="137" spans="1:23" s="61" customFormat="1" x14ac:dyDescent="0.3">
      <c r="A137" s="27" t="s">
        <v>28</v>
      </c>
      <c r="B137" s="15" t="s">
        <v>242</v>
      </c>
      <c r="C137" s="16">
        <v>45656</v>
      </c>
      <c r="D137" s="27" t="s">
        <v>243</v>
      </c>
      <c r="E137" s="28">
        <v>15</v>
      </c>
      <c r="F137" s="31">
        <v>10</v>
      </c>
      <c r="G137" s="31">
        <f t="shared" si="3"/>
        <v>5</v>
      </c>
      <c r="H137" s="19">
        <v>46203</v>
      </c>
      <c r="I137" s="32" t="s">
        <v>231</v>
      </c>
      <c r="J137" s="33"/>
      <c r="K137" s="33"/>
      <c r="L137" s="34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</row>
    <row r="138" spans="1:23" s="61" customFormat="1" x14ac:dyDescent="0.3">
      <c r="A138" s="27" t="s">
        <v>139</v>
      </c>
      <c r="B138" s="15" t="s">
        <v>244</v>
      </c>
      <c r="C138" s="16">
        <v>45603</v>
      </c>
      <c r="D138" s="27" t="s">
        <v>245</v>
      </c>
      <c r="E138" s="28">
        <v>2</v>
      </c>
      <c r="F138" s="31">
        <v>1</v>
      </c>
      <c r="G138" s="31">
        <f t="shared" si="3"/>
        <v>1</v>
      </c>
      <c r="H138" s="19">
        <v>45687</v>
      </c>
      <c r="I138" s="32" t="s">
        <v>231</v>
      </c>
      <c r="J138" s="33"/>
      <c r="K138" s="33"/>
      <c r="L138" s="34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</row>
    <row r="139" spans="1:23" s="61" customFormat="1" x14ac:dyDescent="0.3">
      <c r="A139" s="27" t="s">
        <v>246</v>
      </c>
      <c r="B139" s="42" t="s">
        <v>247</v>
      </c>
      <c r="C139" s="16">
        <v>45673</v>
      </c>
      <c r="D139" s="63" t="s">
        <v>248</v>
      </c>
      <c r="E139" s="28">
        <v>30</v>
      </c>
      <c r="F139" s="31">
        <v>14</v>
      </c>
      <c r="G139" s="31">
        <f t="shared" si="3"/>
        <v>16</v>
      </c>
      <c r="H139" s="19">
        <v>46234</v>
      </c>
      <c r="I139" s="32" t="s">
        <v>231</v>
      </c>
      <c r="J139" s="33"/>
      <c r="K139" s="65"/>
      <c r="L139" s="34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</row>
    <row r="140" spans="1:23" s="61" customFormat="1" x14ac:dyDescent="0.3">
      <c r="A140" s="27" t="s">
        <v>246</v>
      </c>
      <c r="B140" s="42" t="s">
        <v>247</v>
      </c>
      <c r="C140" s="16">
        <v>45673</v>
      </c>
      <c r="D140" s="63" t="s">
        <v>249</v>
      </c>
      <c r="E140" s="28">
        <v>30</v>
      </c>
      <c r="F140" s="31">
        <v>14</v>
      </c>
      <c r="G140" s="31">
        <f t="shared" si="3"/>
        <v>16</v>
      </c>
      <c r="H140" s="19">
        <v>46234</v>
      </c>
      <c r="I140" s="32" t="s">
        <v>231</v>
      </c>
      <c r="J140" s="33"/>
      <c r="K140" s="65"/>
      <c r="L140" s="34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</row>
    <row r="141" spans="1:23" s="61" customFormat="1" x14ac:dyDescent="0.3">
      <c r="A141" s="27" t="s">
        <v>246</v>
      </c>
      <c r="B141" s="42" t="s">
        <v>247</v>
      </c>
      <c r="C141" s="16">
        <v>45673</v>
      </c>
      <c r="D141" s="63" t="s">
        <v>250</v>
      </c>
      <c r="E141" s="28">
        <v>30</v>
      </c>
      <c r="F141" s="31">
        <v>14</v>
      </c>
      <c r="G141" s="31">
        <f t="shared" si="3"/>
        <v>16</v>
      </c>
      <c r="H141" s="19">
        <v>46234</v>
      </c>
      <c r="I141" s="32" t="s">
        <v>231</v>
      </c>
      <c r="J141" s="33"/>
      <c r="K141" s="65"/>
      <c r="L141" s="34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</row>
    <row r="142" spans="1:23" s="61" customFormat="1" x14ac:dyDescent="0.3">
      <c r="A142" s="27" t="s">
        <v>246</v>
      </c>
      <c r="B142" s="42" t="s">
        <v>247</v>
      </c>
      <c r="C142" s="16">
        <v>45673</v>
      </c>
      <c r="D142" s="63" t="s">
        <v>251</v>
      </c>
      <c r="E142" s="28">
        <v>30</v>
      </c>
      <c r="F142" s="31">
        <v>9</v>
      </c>
      <c r="G142" s="31">
        <f t="shared" si="3"/>
        <v>21</v>
      </c>
      <c r="H142" s="19">
        <v>46234</v>
      </c>
      <c r="I142" s="32" t="s">
        <v>231</v>
      </c>
      <c r="J142" s="33"/>
      <c r="K142" s="65"/>
      <c r="L142" s="34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</row>
    <row r="143" spans="1:23" s="61" customFormat="1" x14ac:dyDescent="0.3">
      <c r="A143" s="27" t="s">
        <v>246</v>
      </c>
      <c r="B143" s="42" t="s">
        <v>247</v>
      </c>
      <c r="C143" s="16">
        <v>45673</v>
      </c>
      <c r="D143" s="63" t="s">
        <v>252</v>
      </c>
      <c r="E143" s="28">
        <v>30</v>
      </c>
      <c r="F143" s="31">
        <v>13</v>
      </c>
      <c r="G143" s="31">
        <f t="shared" si="3"/>
        <v>17</v>
      </c>
      <c r="H143" s="19">
        <v>46234</v>
      </c>
      <c r="I143" s="32" t="s">
        <v>231</v>
      </c>
      <c r="J143" s="33"/>
      <c r="K143" s="65"/>
      <c r="L143" s="34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</row>
    <row r="144" spans="1:23" s="61" customFormat="1" x14ac:dyDescent="0.3">
      <c r="A144" s="27" t="s">
        <v>246</v>
      </c>
      <c r="B144" s="42" t="s">
        <v>247</v>
      </c>
      <c r="C144" s="16">
        <v>45673</v>
      </c>
      <c r="D144" s="63" t="s">
        <v>253</v>
      </c>
      <c r="E144" s="28">
        <v>30</v>
      </c>
      <c r="F144" s="31">
        <v>9</v>
      </c>
      <c r="G144" s="31">
        <f t="shared" si="3"/>
        <v>21</v>
      </c>
      <c r="H144" s="19">
        <v>46234</v>
      </c>
      <c r="I144" s="32" t="s">
        <v>231</v>
      </c>
      <c r="J144" s="33"/>
      <c r="K144" s="65"/>
      <c r="L144" s="34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</row>
    <row r="145" spans="1:23" s="61" customFormat="1" x14ac:dyDescent="0.3">
      <c r="A145" s="27" t="s">
        <v>246</v>
      </c>
      <c r="B145" s="42" t="s">
        <v>254</v>
      </c>
      <c r="C145" s="16">
        <v>45673</v>
      </c>
      <c r="D145" s="63" t="s">
        <v>255</v>
      </c>
      <c r="E145" s="28">
        <v>30</v>
      </c>
      <c r="F145" s="31">
        <v>20</v>
      </c>
      <c r="G145" s="31">
        <f t="shared" si="3"/>
        <v>10</v>
      </c>
      <c r="H145" s="19">
        <v>46234</v>
      </c>
      <c r="I145" s="32" t="s">
        <v>231</v>
      </c>
      <c r="J145" s="33"/>
      <c r="K145" s="65"/>
      <c r="L145" s="34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</row>
    <row r="146" spans="1:23" s="61" customFormat="1" x14ac:dyDescent="0.3">
      <c r="A146" s="27" t="s">
        <v>146</v>
      </c>
      <c r="B146" s="25" t="s">
        <v>256</v>
      </c>
      <c r="C146" s="26">
        <v>45742</v>
      </c>
      <c r="D146" s="27" t="s">
        <v>257</v>
      </c>
      <c r="E146" s="28">
        <v>3</v>
      </c>
      <c r="F146" s="31">
        <v>0</v>
      </c>
      <c r="G146" s="31">
        <f t="shared" si="3"/>
        <v>3</v>
      </c>
      <c r="H146" s="19">
        <v>45920</v>
      </c>
      <c r="I146" s="32" t="s">
        <v>231</v>
      </c>
      <c r="J146" s="33"/>
      <c r="K146" s="33"/>
      <c r="L146" s="34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</row>
    <row r="147" spans="1:23" s="61" customFormat="1" x14ac:dyDescent="0.3">
      <c r="A147" s="27" t="s">
        <v>139</v>
      </c>
      <c r="B147" s="15" t="s">
        <v>258</v>
      </c>
      <c r="C147" s="16">
        <v>45911</v>
      </c>
      <c r="D147" s="27" t="s">
        <v>259</v>
      </c>
      <c r="E147" s="28">
        <v>3</v>
      </c>
      <c r="F147" s="31">
        <v>0</v>
      </c>
      <c r="G147" s="31">
        <f t="shared" si="3"/>
        <v>3</v>
      </c>
      <c r="H147" s="19">
        <v>45960</v>
      </c>
      <c r="I147" s="32" t="s">
        <v>231</v>
      </c>
      <c r="J147" s="33"/>
      <c r="K147" s="33"/>
      <c r="L147" s="34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</row>
    <row r="148" spans="1:23" s="61" customFormat="1" x14ac:dyDescent="0.3">
      <c r="A148" s="27" t="s">
        <v>139</v>
      </c>
      <c r="B148" s="15" t="s">
        <v>260</v>
      </c>
      <c r="C148" s="16">
        <v>45911</v>
      </c>
      <c r="D148" s="27" t="s">
        <v>261</v>
      </c>
      <c r="E148" s="28">
        <v>4</v>
      </c>
      <c r="F148" s="31">
        <v>0</v>
      </c>
      <c r="G148" s="31">
        <f t="shared" si="3"/>
        <v>4</v>
      </c>
      <c r="H148" s="19">
        <v>45960</v>
      </c>
      <c r="I148" s="32" t="s">
        <v>231</v>
      </c>
      <c r="J148" s="33"/>
      <c r="K148" s="33"/>
      <c r="L148" s="34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</row>
    <row r="149" spans="1:23" s="61" customFormat="1" x14ac:dyDescent="0.3">
      <c r="A149" s="27" t="s">
        <v>139</v>
      </c>
      <c r="B149" s="15" t="s">
        <v>262</v>
      </c>
      <c r="C149" s="16">
        <v>45911</v>
      </c>
      <c r="D149" s="27" t="s">
        <v>241</v>
      </c>
      <c r="E149" s="28">
        <v>3</v>
      </c>
      <c r="F149" s="31">
        <v>0</v>
      </c>
      <c r="G149" s="31">
        <f t="shared" si="3"/>
        <v>3</v>
      </c>
      <c r="H149" s="19">
        <v>45960</v>
      </c>
      <c r="I149" s="32" t="s">
        <v>231</v>
      </c>
      <c r="J149" s="33"/>
      <c r="K149" s="33"/>
      <c r="L149" s="34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</row>
    <row r="150" spans="1:23" s="61" customFormat="1" x14ac:dyDescent="0.3">
      <c r="A150" s="72" t="s">
        <v>201</v>
      </c>
      <c r="B150" s="25" t="s">
        <v>263</v>
      </c>
      <c r="C150" s="26">
        <v>45965</v>
      </c>
      <c r="D150" s="30" t="s">
        <v>264</v>
      </c>
      <c r="E150" s="28">
        <v>2</v>
      </c>
      <c r="F150" s="31">
        <v>0</v>
      </c>
      <c r="G150" s="31">
        <f t="shared" si="3"/>
        <v>2</v>
      </c>
      <c r="H150" s="19">
        <v>46265</v>
      </c>
      <c r="I150" s="32" t="s">
        <v>231</v>
      </c>
      <c r="J150" s="33" t="s">
        <v>265</v>
      </c>
      <c r="K150" s="33"/>
      <c r="L150" s="34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100"/>
    </row>
    <row r="151" spans="1:23" s="61" customFormat="1" ht="13.8" x14ac:dyDescent="0.3">
      <c r="A151" s="72" t="s">
        <v>97</v>
      </c>
      <c r="B151" s="25">
        <v>3220016545</v>
      </c>
      <c r="C151" s="26">
        <v>46044</v>
      </c>
      <c r="D151" s="30" t="s">
        <v>266</v>
      </c>
      <c r="E151" s="28">
        <v>3</v>
      </c>
      <c r="F151" s="31">
        <v>0</v>
      </c>
      <c r="G151" s="31">
        <f t="shared" si="3"/>
        <v>3</v>
      </c>
      <c r="H151" s="89" t="s">
        <v>267</v>
      </c>
      <c r="I151" s="32" t="s">
        <v>231</v>
      </c>
      <c r="J151" s="33"/>
      <c r="K151" s="33"/>
      <c r="L151" s="34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</row>
    <row r="152" spans="1:23" s="61" customFormat="1" ht="13.8" x14ac:dyDescent="0.3">
      <c r="A152" s="72" t="s">
        <v>97</v>
      </c>
      <c r="B152" s="25">
        <v>3220016545</v>
      </c>
      <c r="C152" s="26">
        <v>46044</v>
      </c>
      <c r="D152" s="30" t="s">
        <v>268</v>
      </c>
      <c r="E152" s="28">
        <v>3</v>
      </c>
      <c r="F152" s="31">
        <v>0</v>
      </c>
      <c r="G152" s="31">
        <f t="shared" si="3"/>
        <v>3</v>
      </c>
      <c r="H152" s="89" t="s">
        <v>267</v>
      </c>
      <c r="I152" s="32" t="s">
        <v>231</v>
      </c>
      <c r="J152" s="33"/>
      <c r="K152" s="33"/>
      <c r="L152" s="34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</row>
    <row r="153" spans="1:23" s="61" customFormat="1" ht="13.8" x14ac:dyDescent="0.3">
      <c r="A153" s="72" t="s">
        <v>97</v>
      </c>
      <c r="B153" s="25">
        <v>3220016545</v>
      </c>
      <c r="C153" s="26">
        <v>46044</v>
      </c>
      <c r="D153" s="30" t="s">
        <v>269</v>
      </c>
      <c r="E153" s="28">
        <v>3</v>
      </c>
      <c r="F153" s="31">
        <v>0</v>
      </c>
      <c r="G153" s="31">
        <f t="shared" si="3"/>
        <v>3</v>
      </c>
      <c r="H153" s="89" t="s">
        <v>267</v>
      </c>
      <c r="I153" s="32" t="s">
        <v>231</v>
      </c>
      <c r="J153" s="33"/>
      <c r="K153" s="33"/>
      <c r="L153" s="34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</row>
    <row r="154" spans="1:23" s="61" customFormat="1" x14ac:dyDescent="0.3">
      <c r="A154" s="72" t="s">
        <v>270</v>
      </c>
      <c r="B154" s="25" t="s">
        <v>271</v>
      </c>
      <c r="C154" s="26">
        <v>46079</v>
      </c>
      <c r="D154" s="30" t="s">
        <v>272</v>
      </c>
      <c r="E154" s="28">
        <v>6</v>
      </c>
      <c r="F154" s="31">
        <v>0</v>
      </c>
      <c r="G154" s="31">
        <f t="shared" si="3"/>
        <v>6</v>
      </c>
      <c r="H154" s="19">
        <v>46387</v>
      </c>
      <c r="I154" s="32" t="s">
        <v>231</v>
      </c>
      <c r="J154" s="33"/>
      <c r="K154" s="33"/>
      <c r="L154" s="34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</row>
    <row r="155" spans="1:23" s="61" customFormat="1" x14ac:dyDescent="0.3">
      <c r="A155" s="72" t="s">
        <v>270</v>
      </c>
      <c r="B155" s="25" t="s">
        <v>271</v>
      </c>
      <c r="C155" s="26">
        <v>46079</v>
      </c>
      <c r="D155" s="30" t="s">
        <v>273</v>
      </c>
      <c r="E155" s="28">
        <v>6</v>
      </c>
      <c r="F155" s="31">
        <v>0</v>
      </c>
      <c r="G155" s="31">
        <f t="shared" si="3"/>
        <v>6</v>
      </c>
      <c r="H155" s="19">
        <v>46387</v>
      </c>
      <c r="I155" s="32" t="s">
        <v>231</v>
      </c>
      <c r="J155" s="33"/>
      <c r="K155" s="33"/>
      <c r="L155" s="34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</row>
    <row r="156" spans="1:23" s="61" customFormat="1" x14ac:dyDescent="0.3">
      <c r="A156" s="72" t="s">
        <v>270</v>
      </c>
      <c r="B156" s="25" t="s">
        <v>271</v>
      </c>
      <c r="C156" s="26">
        <v>46079</v>
      </c>
      <c r="D156" s="30" t="s">
        <v>274</v>
      </c>
      <c r="E156" s="28">
        <v>6</v>
      </c>
      <c r="F156" s="31">
        <v>0</v>
      </c>
      <c r="G156" s="31">
        <f t="shared" si="3"/>
        <v>6</v>
      </c>
      <c r="H156" s="19">
        <v>46387</v>
      </c>
      <c r="I156" s="32" t="s">
        <v>231</v>
      </c>
      <c r="J156" s="33"/>
      <c r="K156" s="33"/>
      <c r="L156" s="34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</row>
    <row r="157" spans="1:23" s="61" customFormat="1" x14ac:dyDescent="0.3">
      <c r="A157" s="72" t="s">
        <v>270</v>
      </c>
      <c r="B157" s="25" t="s">
        <v>271</v>
      </c>
      <c r="C157" s="26">
        <v>46079</v>
      </c>
      <c r="D157" s="30" t="s">
        <v>275</v>
      </c>
      <c r="E157" s="28">
        <v>6</v>
      </c>
      <c r="F157" s="31">
        <v>0</v>
      </c>
      <c r="G157" s="31">
        <f t="shared" si="3"/>
        <v>6</v>
      </c>
      <c r="H157" s="19">
        <v>46387</v>
      </c>
      <c r="I157" s="32" t="s">
        <v>231</v>
      </c>
      <c r="J157" s="33"/>
      <c r="K157" s="33"/>
      <c r="L157" s="34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</row>
    <row r="158" spans="1:23" s="61" customFormat="1" x14ac:dyDescent="0.3">
      <c r="A158" s="72" t="s">
        <v>270</v>
      </c>
      <c r="B158" s="25" t="s">
        <v>271</v>
      </c>
      <c r="C158" s="26">
        <v>46079</v>
      </c>
      <c r="D158" s="30" t="s">
        <v>276</v>
      </c>
      <c r="E158" s="28">
        <v>6</v>
      </c>
      <c r="F158" s="31">
        <v>0</v>
      </c>
      <c r="G158" s="31">
        <f t="shared" si="3"/>
        <v>6</v>
      </c>
      <c r="H158" s="19">
        <v>46387</v>
      </c>
      <c r="I158" s="32" t="s">
        <v>231</v>
      </c>
      <c r="J158" s="33"/>
      <c r="K158" s="33"/>
      <c r="L158" s="34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</row>
    <row r="159" spans="1:23" s="61" customFormat="1" x14ac:dyDescent="0.3">
      <c r="A159" s="72" t="s">
        <v>270</v>
      </c>
      <c r="B159" s="25" t="s">
        <v>271</v>
      </c>
      <c r="C159" s="26">
        <v>46079</v>
      </c>
      <c r="D159" s="30" t="s">
        <v>277</v>
      </c>
      <c r="E159" s="28">
        <v>7</v>
      </c>
      <c r="F159" s="31">
        <v>0</v>
      </c>
      <c r="G159" s="31">
        <f t="shared" si="3"/>
        <v>7</v>
      </c>
      <c r="H159" s="19">
        <v>46387</v>
      </c>
      <c r="I159" s="32" t="s">
        <v>231</v>
      </c>
      <c r="J159" s="33"/>
      <c r="K159" s="33"/>
      <c r="L159" s="34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</row>
    <row r="160" spans="1:23" s="61" customFormat="1" x14ac:dyDescent="0.3">
      <c r="A160" s="72" t="s">
        <v>270</v>
      </c>
      <c r="B160" s="25" t="s">
        <v>271</v>
      </c>
      <c r="C160" s="26">
        <v>46079</v>
      </c>
      <c r="D160" s="30" t="s">
        <v>278</v>
      </c>
      <c r="E160" s="28">
        <v>7</v>
      </c>
      <c r="F160" s="31">
        <v>0</v>
      </c>
      <c r="G160" s="31">
        <f t="shared" si="3"/>
        <v>7</v>
      </c>
      <c r="H160" s="19">
        <v>46387</v>
      </c>
      <c r="I160" s="32" t="s">
        <v>231</v>
      </c>
      <c r="J160" s="33"/>
      <c r="K160" s="33"/>
      <c r="L160" s="34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</row>
    <row r="161" spans="1:23" s="61" customFormat="1" x14ac:dyDescent="0.3">
      <c r="A161" s="72" t="s">
        <v>270</v>
      </c>
      <c r="B161" s="25" t="s">
        <v>271</v>
      </c>
      <c r="C161" s="26">
        <v>46079</v>
      </c>
      <c r="D161" s="30" t="s">
        <v>279</v>
      </c>
      <c r="E161" s="28">
        <v>6</v>
      </c>
      <c r="F161" s="31">
        <v>0</v>
      </c>
      <c r="G161" s="31">
        <f t="shared" si="3"/>
        <v>6</v>
      </c>
      <c r="H161" s="19">
        <v>46387</v>
      </c>
      <c r="I161" s="32" t="s">
        <v>231</v>
      </c>
      <c r="J161" s="33"/>
      <c r="K161" s="33"/>
      <c r="L161" s="34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</row>
    <row r="162" spans="1:23" s="61" customFormat="1" ht="27.6" x14ac:dyDescent="0.3">
      <c r="A162" s="72" t="s">
        <v>280</v>
      </c>
      <c r="B162" s="25">
        <v>4500401496</v>
      </c>
      <c r="C162" s="26">
        <v>46114</v>
      </c>
      <c r="D162" s="30" t="s">
        <v>281</v>
      </c>
      <c r="E162" s="28">
        <v>4</v>
      </c>
      <c r="F162" s="31">
        <v>0</v>
      </c>
      <c r="G162" s="31">
        <f t="shared" si="3"/>
        <v>4</v>
      </c>
      <c r="H162" s="19">
        <v>46233</v>
      </c>
      <c r="I162" s="32" t="s">
        <v>231</v>
      </c>
      <c r="J162" s="33"/>
      <c r="K162" s="33"/>
      <c r="L162" s="34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</row>
    <row r="163" spans="1:23" s="61" customFormat="1" x14ac:dyDescent="0.3">
      <c r="A163" s="72" t="s">
        <v>280</v>
      </c>
      <c r="B163" s="25">
        <v>4500401496</v>
      </c>
      <c r="C163" s="26">
        <v>46114</v>
      </c>
      <c r="D163" s="101" t="s">
        <v>282</v>
      </c>
      <c r="E163" s="28">
        <v>4</v>
      </c>
      <c r="F163" s="31">
        <v>0</v>
      </c>
      <c r="G163" s="31">
        <f t="shared" si="3"/>
        <v>4</v>
      </c>
      <c r="H163" s="19">
        <v>46233</v>
      </c>
      <c r="I163" s="32" t="s">
        <v>231</v>
      </c>
      <c r="J163" s="33"/>
      <c r="K163" s="33"/>
      <c r="L163" s="34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</row>
    <row r="164" spans="1:23" s="61" customFormat="1" x14ac:dyDescent="0.3">
      <c r="A164" s="27" t="s">
        <v>20</v>
      </c>
      <c r="B164" s="15" t="s">
        <v>283</v>
      </c>
      <c r="C164" s="26">
        <v>46114</v>
      </c>
      <c r="D164" s="30" t="s">
        <v>284</v>
      </c>
      <c r="E164" s="28">
        <v>10</v>
      </c>
      <c r="F164" s="31">
        <v>0</v>
      </c>
      <c r="G164" s="31">
        <f t="shared" si="3"/>
        <v>10</v>
      </c>
      <c r="H164" s="19">
        <v>46301</v>
      </c>
      <c r="I164" s="32" t="s">
        <v>231</v>
      </c>
      <c r="J164" s="78"/>
      <c r="K164" s="33"/>
      <c r="L164" s="34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</row>
    <row r="165" spans="1:23" s="61" customFormat="1" x14ac:dyDescent="0.3">
      <c r="A165" s="27" t="s">
        <v>60</v>
      </c>
      <c r="B165" s="39" t="s">
        <v>285</v>
      </c>
      <c r="C165" s="26">
        <v>46135</v>
      </c>
      <c r="D165" s="30" t="s">
        <v>286</v>
      </c>
      <c r="E165" s="28">
        <v>2</v>
      </c>
      <c r="F165" s="31"/>
      <c r="G165" s="31">
        <f t="shared" si="3"/>
        <v>2</v>
      </c>
      <c r="H165" s="19">
        <v>46198</v>
      </c>
      <c r="I165" s="32" t="s">
        <v>231</v>
      </c>
      <c r="J165" s="75"/>
      <c r="K165" s="75"/>
      <c r="L165" s="88"/>
      <c r="M165" s="75"/>
      <c r="N165" s="75"/>
      <c r="O165" s="75"/>
      <c r="P165" s="75"/>
      <c r="Q165" s="75"/>
      <c r="R165" s="75"/>
      <c r="S165" s="75"/>
      <c r="T165" s="75"/>
      <c r="U165" s="75"/>
      <c r="V165" s="33"/>
      <c r="W165" s="33"/>
    </row>
    <row r="166" spans="1:23" s="61" customFormat="1" ht="13.8" x14ac:dyDescent="0.3">
      <c r="A166" s="27" t="s">
        <v>287</v>
      </c>
      <c r="B166" s="39">
        <v>4300036355</v>
      </c>
      <c r="C166" s="26">
        <v>46128</v>
      </c>
      <c r="D166" s="30" t="s">
        <v>288</v>
      </c>
      <c r="E166" s="28">
        <v>2</v>
      </c>
      <c r="F166" s="31"/>
      <c r="G166" s="31">
        <f t="shared" si="3"/>
        <v>2</v>
      </c>
      <c r="H166" s="89" t="s">
        <v>289</v>
      </c>
      <c r="I166" s="32" t="s">
        <v>231</v>
      </c>
      <c r="J166" s="75"/>
      <c r="K166" s="75"/>
      <c r="L166" s="88"/>
      <c r="M166" s="75"/>
      <c r="N166" s="75"/>
      <c r="O166" s="75"/>
      <c r="P166" s="75"/>
      <c r="Q166" s="75"/>
      <c r="R166" s="75"/>
      <c r="S166" s="75"/>
      <c r="T166" s="75"/>
      <c r="U166" s="75"/>
      <c r="V166" s="33"/>
      <c r="W166" s="33"/>
    </row>
    <row r="167" spans="1:23" s="61" customFormat="1" x14ac:dyDescent="0.3">
      <c r="A167" s="27" t="s">
        <v>194</v>
      </c>
      <c r="B167" s="39">
        <v>4500007207</v>
      </c>
      <c r="C167" s="26">
        <v>46127</v>
      </c>
      <c r="D167" s="30" t="s">
        <v>290</v>
      </c>
      <c r="E167" s="28">
        <v>1</v>
      </c>
      <c r="F167" s="31"/>
      <c r="G167" s="31">
        <f t="shared" si="3"/>
        <v>1</v>
      </c>
      <c r="H167" s="19">
        <f>C167+120</f>
        <v>46247</v>
      </c>
      <c r="I167" s="32" t="s">
        <v>231</v>
      </c>
      <c r="J167" s="75"/>
      <c r="K167" s="75"/>
      <c r="L167" s="88"/>
      <c r="M167" s="75"/>
      <c r="N167" s="75"/>
      <c r="O167" s="75"/>
      <c r="P167" s="75"/>
      <c r="Q167" s="75"/>
      <c r="R167" s="75"/>
      <c r="S167" s="75"/>
      <c r="T167" s="75"/>
      <c r="U167" s="75"/>
      <c r="V167" s="33"/>
      <c r="W167" s="33"/>
    </row>
    <row r="168" spans="1:23" s="61" customFormat="1" x14ac:dyDescent="0.3">
      <c r="A168" s="27" t="s">
        <v>291</v>
      </c>
      <c r="B168" s="39" t="s">
        <v>292</v>
      </c>
      <c r="C168" s="26">
        <v>46140</v>
      </c>
      <c r="D168" s="63" t="s">
        <v>248</v>
      </c>
      <c r="E168" s="28">
        <v>30</v>
      </c>
      <c r="F168" s="31"/>
      <c r="G168" s="31">
        <f t="shared" si="3"/>
        <v>30</v>
      </c>
      <c r="H168" s="19">
        <v>46843</v>
      </c>
      <c r="I168" s="74" t="s">
        <v>231</v>
      </c>
      <c r="J168" s="75"/>
      <c r="K168" s="75"/>
      <c r="L168" s="88"/>
      <c r="M168" s="75"/>
      <c r="N168" s="75"/>
      <c r="O168" s="75"/>
      <c r="P168" s="75"/>
      <c r="Q168" s="75"/>
      <c r="R168" s="75"/>
      <c r="S168" s="75"/>
      <c r="T168" s="75"/>
      <c r="U168" s="75"/>
      <c r="V168" s="33"/>
      <c r="W168" s="33"/>
    </row>
    <row r="169" spans="1:23" s="61" customFormat="1" x14ac:dyDescent="0.3">
      <c r="A169" s="27" t="s">
        <v>291</v>
      </c>
      <c r="B169" s="39" t="s">
        <v>292</v>
      </c>
      <c r="C169" s="26">
        <v>46140</v>
      </c>
      <c r="D169" s="63" t="s">
        <v>249</v>
      </c>
      <c r="E169" s="28">
        <v>30</v>
      </c>
      <c r="F169" s="31"/>
      <c r="G169" s="31">
        <f t="shared" si="3"/>
        <v>30</v>
      </c>
      <c r="H169" s="19">
        <v>46843</v>
      </c>
      <c r="I169" s="74" t="s">
        <v>231</v>
      </c>
      <c r="J169" s="75"/>
      <c r="K169" s="75"/>
      <c r="L169" s="88"/>
      <c r="M169" s="75"/>
      <c r="N169" s="75"/>
      <c r="O169" s="75"/>
      <c r="P169" s="75"/>
      <c r="Q169" s="75"/>
      <c r="R169" s="75"/>
      <c r="S169" s="75"/>
      <c r="T169" s="75"/>
      <c r="U169" s="75"/>
      <c r="V169" s="33"/>
      <c r="W169" s="33"/>
    </row>
    <row r="170" spans="1:23" s="61" customFormat="1" x14ac:dyDescent="0.3">
      <c r="A170" s="27" t="s">
        <v>291</v>
      </c>
      <c r="B170" s="39" t="s">
        <v>292</v>
      </c>
      <c r="C170" s="26">
        <v>46140</v>
      </c>
      <c r="D170" s="63" t="s">
        <v>250</v>
      </c>
      <c r="E170" s="28">
        <v>30</v>
      </c>
      <c r="F170" s="31"/>
      <c r="G170" s="31">
        <f t="shared" si="3"/>
        <v>30</v>
      </c>
      <c r="H170" s="19">
        <v>46843</v>
      </c>
      <c r="I170" s="74" t="s">
        <v>231</v>
      </c>
      <c r="J170" s="75"/>
      <c r="K170" s="75"/>
      <c r="L170" s="88"/>
      <c r="M170" s="75"/>
      <c r="N170" s="75"/>
      <c r="O170" s="75"/>
      <c r="P170" s="75"/>
      <c r="Q170" s="75"/>
      <c r="R170" s="75"/>
      <c r="S170" s="75"/>
      <c r="T170" s="75"/>
      <c r="U170" s="75"/>
      <c r="V170" s="33"/>
      <c r="W170" s="33"/>
    </row>
    <row r="171" spans="1:23" s="61" customFormat="1" x14ac:dyDescent="0.3">
      <c r="A171" s="27" t="s">
        <v>291</v>
      </c>
      <c r="B171" s="39" t="s">
        <v>292</v>
      </c>
      <c r="C171" s="26">
        <v>46140</v>
      </c>
      <c r="D171" s="63" t="s">
        <v>251</v>
      </c>
      <c r="E171" s="28">
        <v>30</v>
      </c>
      <c r="F171" s="31"/>
      <c r="G171" s="31">
        <f t="shared" si="3"/>
        <v>30</v>
      </c>
      <c r="H171" s="19">
        <v>46843</v>
      </c>
      <c r="I171" s="74" t="s">
        <v>231</v>
      </c>
      <c r="J171" s="75"/>
      <c r="K171" s="75"/>
      <c r="L171" s="88"/>
      <c r="M171" s="75"/>
      <c r="N171" s="75"/>
      <c r="O171" s="75"/>
      <c r="P171" s="75"/>
      <c r="Q171" s="75"/>
      <c r="R171" s="75"/>
      <c r="S171" s="75"/>
      <c r="T171" s="75"/>
      <c r="U171" s="75"/>
      <c r="V171" s="33"/>
      <c r="W171" s="33"/>
    </row>
    <row r="172" spans="1:23" s="61" customFormat="1" x14ac:dyDescent="0.3">
      <c r="A172" s="27" t="s">
        <v>291</v>
      </c>
      <c r="B172" s="39" t="s">
        <v>292</v>
      </c>
      <c r="C172" s="26">
        <v>46140</v>
      </c>
      <c r="D172" s="63" t="s">
        <v>252</v>
      </c>
      <c r="E172" s="28">
        <v>30</v>
      </c>
      <c r="F172" s="31"/>
      <c r="G172" s="31">
        <f t="shared" si="3"/>
        <v>30</v>
      </c>
      <c r="H172" s="19">
        <v>46843</v>
      </c>
      <c r="I172" s="74" t="s">
        <v>231</v>
      </c>
      <c r="J172" s="75"/>
      <c r="K172" s="75"/>
      <c r="L172" s="88"/>
      <c r="M172" s="75"/>
      <c r="N172" s="75"/>
      <c r="O172" s="75"/>
      <c r="P172" s="75"/>
      <c r="Q172" s="75"/>
      <c r="R172" s="75"/>
      <c r="S172" s="75"/>
      <c r="T172" s="75"/>
      <c r="U172" s="75"/>
      <c r="V172" s="33"/>
      <c r="W172" s="33"/>
    </row>
    <row r="173" spans="1:23" s="61" customFormat="1" x14ac:dyDescent="0.3">
      <c r="A173" s="27" t="s">
        <v>291</v>
      </c>
      <c r="B173" s="39" t="s">
        <v>292</v>
      </c>
      <c r="C173" s="26">
        <v>46140</v>
      </c>
      <c r="D173" s="63" t="s">
        <v>253</v>
      </c>
      <c r="E173" s="28">
        <v>30</v>
      </c>
      <c r="F173" s="31"/>
      <c r="G173" s="31">
        <f t="shared" si="3"/>
        <v>30</v>
      </c>
      <c r="H173" s="19">
        <v>46843</v>
      </c>
      <c r="I173" s="74" t="s">
        <v>231</v>
      </c>
      <c r="J173" s="75"/>
      <c r="K173" s="75"/>
      <c r="L173" s="88"/>
      <c r="M173" s="75"/>
      <c r="N173" s="75"/>
      <c r="O173" s="75"/>
      <c r="P173" s="75"/>
      <c r="Q173" s="75"/>
      <c r="R173" s="75"/>
      <c r="S173" s="75"/>
      <c r="T173" s="75"/>
      <c r="U173" s="75"/>
      <c r="V173" s="33"/>
      <c r="W173" s="33"/>
    </row>
    <row r="174" spans="1:23" s="61" customFormat="1" x14ac:dyDescent="0.3">
      <c r="A174" s="27" t="s">
        <v>28</v>
      </c>
      <c r="B174" s="39" t="s">
        <v>293</v>
      </c>
      <c r="C174" s="26">
        <v>46155</v>
      </c>
      <c r="D174" s="63" t="s">
        <v>294</v>
      </c>
      <c r="E174" s="28">
        <v>48</v>
      </c>
      <c r="F174" s="31"/>
      <c r="G174" s="31">
        <f t="shared" si="3"/>
        <v>48</v>
      </c>
      <c r="H174" s="19">
        <v>46704</v>
      </c>
      <c r="I174" s="74" t="s">
        <v>231</v>
      </c>
      <c r="J174" s="75"/>
      <c r="K174" s="75"/>
      <c r="L174" s="88"/>
      <c r="M174" s="75"/>
      <c r="N174" s="75"/>
      <c r="O174" s="75"/>
      <c r="P174" s="75"/>
      <c r="Q174" s="75"/>
      <c r="R174" s="75"/>
      <c r="S174" s="75"/>
      <c r="T174" s="75"/>
      <c r="U174" s="75"/>
      <c r="V174" s="33"/>
      <c r="W174" s="33"/>
    </row>
    <row r="175" spans="1:23" s="61" customFormat="1" x14ac:dyDescent="0.3">
      <c r="A175" s="27" t="s">
        <v>28</v>
      </c>
      <c r="B175" s="39" t="s">
        <v>293</v>
      </c>
      <c r="C175" s="26">
        <v>46155</v>
      </c>
      <c r="D175" s="63" t="s">
        <v>295</v>
      </c>
      <c r="E175" s="28">
        <v>48</v>
      </c>
      <c r="F175" s="31"/>
      <c r="G175" s="31">
        <f t="shared" si="3"/>
        <v>48</v>
      </c>
      <c r="H175" s="19">
        <v>46704</v>
      </c>
      <c r="I175" s="74" t="s">
        <v>231</v>
      </c>
      <c r="J175" s="75"/>
      <c r="K175" s="75"/>
      <c r="L175" s="88"/>
      <c r="M175" s="75"/>
      <c r="N175" s="75"/>
      <c r="O175" s="75"/>
      <c r="P175" s="75"/>
      <c r="Q175" s="75"/>
      <c r="R175" s="75"/>
      <c r="S175" s="75"/>
      <c r="T175" s="75"/>
      <c r="U175" s="75"/>
      <c r="V175" s="33"/>
      <c r="W175" s="33"/>
    </row>
    <row r="176" spans="1:23" s="61" customFormat="1" ht="27.6" x14ac:dyDescent="0.3">
      <c r="A176" s="27" t="s">
        <v>201</v>
      </c>
      <c r="B176" s="15" t="s">
        <v>296</v>
      </c>
      <c r="C176" s="16">
        <v>45462</v>
      </c>
      <c r="D176" s="27" t="s">
        <v>297</v>
      </c>
      <c r="E176" s="28">
        <v>5</v>
      </c>
      <c r="F176" s="31">
        <v>2</v>
      </c>
      <c r="G176" s="31">
        <f t="shared" si="3"/>
        <v>3</v>
      </c>
      <c r="H176" s="19">
        <v>46234</v>
      </c>
      <c r="I176" s="74" t="s">
        <v>298</v>
      </c>
      <c r="J176" s="75"/>
      <c r="K176" s="95"/>
      <c r="L176" s="88"/>
      <c r="M176" s="75"/>
      <c r="N176" s="75"/>
      <c r="O176" s="75"/>
      <c r="P176" s="75"/>
      <c r="Q176" s="75"/>
      <c r="R176" s="75"/>
      <c r="S176" s="75"/>
      <c r="T176" s="75"/>
      <c r="U176" s="75"/>
      <c r="V176" s="33"/>
      <c r="W176" s="33"/>
    </row>
    <row r="177" spans="1:23" s="61" customFormat="1" x14ac:dyDescent="0.3">
      <c r="A177" s="27" t="s">
        <v>28</v>
      </c>
      <c r="B177" s="42" t="s">
        <v>299</v>
      </c>
      <c r="C177" s="16">
        <v>45492</v>
      </c>
      <c r="D177" s="27" t="s">
        <v>300</v>
      </c>
      <c r="E177" s="28">
        <v>4</v>
      </c>
      <c r="F177" s="31">
        <v>0</v>
      </c>
      <c r="G177" s="31">
        <f t="shared" si="3"/>
        <v>4</v>
      </c>
      <c r="H177" s="19">
        <v>46721</v>
      </c>
      <c r="I177" s="74" t="s">
        <v>298</v>
      </c>
      <c r="J177" s="75"/>
      <c r="K177" s="75"/>
      <c r="L177" s="88"/>
      <c r="M177" s="75"/>
      <c r="N177" s="75"/>
      <c r="O177" s="75"/>
      <c r="P177" s="75"/>
      <c r="Q177" s="75"/>
      <c r="R177" s="75"/>
      <c r="S177" s="75"/>
      <c r="T177" s="75"/>
      <c r="U177" s="75"/>
      <c r="V177" s="33"/>
      <c r="W177" s="33"/>
    </row>
    <row r="178" spans="1:23" s="61" customFormat="1" x14ac:dyDescent="0.3">
      <c r="A178" s="27" t="s">
        <v>246</v>
      </c>
      <c r="B178" s="42" t="s">
        <v>301</v>
      </c>
      <c r="C178" s="16">
        <v>45488</v>
      </c>
      <c r="D178" s="27" t="s">
        <v>302</v>
      </c>
      <c r="E178" s="28">
        <v>2</v>
      </c>
      <c r="F178" s="31">
        <v>0</v>
      </c>
      <c r="G178" s="31">
        <f t="shared" si="3"/>
        <v>2</v>
      </c>
      <c r="H178" s="19">
        <v>46264</v>
      </c>
      <c r="I178" s="74" t="s">
        <v>298</v>
      </c>
      <c r="J178" s="75"/>
      <c r="K178" s="95"/>
      <c r="L178" s="88"/>
      <c r="M178" s="75"/>
      <c r="N178" s="75"/>
      <c r="O178" s="75"/>
      <c r="P178" s="75"/>
      <c r="Q178" s="75"/>
      <c r="R178" s="75"/>
      <c r="S178" s="75"/>
      <c r="T178" s="75"/>
      <c r="U178" s="75"/>
      <c r="V178" s="33"/>
      <c r="W178" s="33"/>
    </row>
    <row r="179" spans="1:23" s="61" customFormat="1" x14ac:dyDescent="0.3">
      <c r="A179" s="27" t="s">
        <v>246</v>
      </c>
      <c r="B179" s="42" t="s">
        <v>301</v>
      </c>
      <c r="C179" s="16">
        <v>45488</v>
      </c>
      <c r="D179" s="27" t="s">
        <v>302</v>
      </c>
      <c r="E179" s="28">
        <v>3</v>
      </c>
      <c r="F179" s="31">
        <v>0</v>
      </c>
      <c r="G179" s="31">
        <f t="shared" si="3"/>
        <v>3</v>
      </c>
      <c r="H179" s="19">
        <v>46264</v>
      </c>
      <c r="I179" s="74" t="s">
        <v>298</v>
      </c>
      <c r="J179" s="75"/>
      <c r="K179" s="75"/>
      <c r="L179" s="88"/>
      <c r="M179" s="75"/>
      <c r="N179" s="75"/>
      <c r="O179" s="75"/>
      <c r="P179" s="75"/>
      <c r="Q179" s="75"/>
      <c r="R179" s="75"/>
      <c r="S179" s="75"/>
      <c r="T179" s="75"/>
      <c r="U179" s="75"/>
      <c r="V179" s="33"/>
      <c r="W179" s="33"/>
    </row>
    <row r="180" spans="1:23" s="61" customFormat="1" x14ac:dyDescent="0.3">
      <c r="A180" s="27" t="s">
        <v>60</v>
      </c>
      <c r="B180" s="25" t="s">
        <v>303</v>
      </c>
      <c r="C180" s="26">
        <v>45842</v>
      </c>
      <c r="D180" s="27" t="s">
        <v>304</v>
      </c>
      <c r="E180" s="28">
        <v>2</v>
      </c>
      <c r="F180" s="31">
        <v>0</v>
      </c>
      <c r="G180" s="31">
        <f t="shared" si="3"/>
        <v>2</v>
      </c>
      <c r="H180" s="19">
        <v>46387</v>
      </c>
      <c r="I180" s="74" t="s">
        <v>298</v>
      </c>
      <c r="J180" s="75"/>
      <c r="K180" s="75"/>
      <c r="L180" s="88"/>
      <c r="M180" s="75"/>
      <c r="N180" s="75"/>
      <c r="O180" s="75"/>
      <c r="P180" s="75"/>
      <c r="Q180" s="75"/>
      <c r="R180" s="75"/>
      <c r="S180" s="75"/>
      <c r="T180" s="75"/>
      <c r="U180" s="75"/>
      <c r="V180" s="33"/>
      <c r="W180" s="33"/>
    </row>
    <row r="181" spans="1:23" s="61" customFormat="1" ht="27.6" x14ac:dyDescent="0.3">
      <c r="A181" s="29" t="s">
        <v>305</v>
      </c>
      <c r="B181" s="39" t="s">
        <v>306</v>
      </c>
      <c r="C181" s="26">
        <v>46073</v>
      </c>
      <c r="D181" s="30" t="s">
        <v>307</v>
      </c>
      <c r="E181" s="28">
        <v>10</v>
      </c>
      <c r="F181" s="31">
        <v>0</v>
      </c>
      <c r="G181" s="31">
        <f t="shared" si="3"/>
        <v>10</v>
      </c>
      <c r="H181" s="19">
        <v>46419</v>
      </c>
      <c r="I181" s="74" t="s">
        <v>298</v>
      </c>
      <c r="J181" s="75"/>
      <c r="K181" s="75"/>
      <c r="L181" s="88"/>
      <c r="M181" s="75"/>
      <c r="N181" s="75"/>
      <c r="O181" s="75"/>
      <c r="P181" s="75"/>
      <c r="Q181" s="75"/>
      <c r="R181" s="75"/>
      <c r="S181" s="75"/>
      <c r="T181" s="75"/>
      <c r="U181" s="75"/>
      <c r="V181" s="33"/>
      <c r="W181" s="33"/>
    </row>
    <row r="182" spans="1:23" s="61" customFormat="1" x14ac:dyDescent="0.3">
      <c r="A182" s="29" t="s">
        <v>97</v>
      </c>
      <c r="B182" s="39">
        <v>3220017037</v>
      </c>
      <c r="C182" s="26">
        <v>46129</v>
      </c>
      <c r="D182" s="30" t="s">
        <v>308</v>
      </c>
      <c r="E182" s="28">
        <v>10</v>
      </c>
      <c r="F182" s="31"/>
      <c r="G182" s="31">
        <f t="shared" si="3"/>
        <v>10</v>
      </c>
      <c r="H182" s="19">
        <v>46212</v>
      </c>
      <c r="I182" s="74" t="s">
        <v>298</v>
      </c>
      <c r="J182" s="75"/>
      <c r="K182" s="75"/>
      <c r="L182" s="88"/>
      <c r="M182" s="75"/>
      <c r="N182" s="75"/>
      <c r="O182" s="75"/>
      <c r="P182" s="75"/>
      <c r="Q182" s="75"/>
      <c r="R182" s="75"/>
      <c r="S182" s="75"/>
      <c r="T182" s="75"/>
      <c r="U182" s="75"/>
      <c r="V182" s="33"/>
      <c r="W182" s="33"/>
    </row>
    <row r="183" spans="1:23" s="61" customFormat="1" x14ac:dyDescent="0.3">
      <c r="A183" s="27" t="s">
        <v>28</v>
      </c>
      <c r="B183" s="39" t="s">
        <v>309</v>
      </c>
      <c r="C183" s="26">
        <v>46132</v>
      </c>
      <c r="D183" s="30" t="s">
        <v>310</v>
      </c>
      <c r="E183" s="28">
        <v>4</v>
      </c>
      <c r="F183" s="31"/>
      <c r="G183" s="31">
        <f t="shared" si="3"/>
        <v>4</v>
      </c>
      <c r="H183" s="19">
        <v>46863</v>
      </c>
      <c r="I183" s="32" t="s">
        <v>298</v>
      </c>
      <c r="J183" s="75"/>
      <c r="K183" s="75"/>
      <c r="L183" s="88"/>
      <c r="M183" s="75"/>
      <c r="N183" s="75"/>
      <c r="O183" s="75"/>
      <c r="P183" s="75"/>
      <c r="Q183" s="75"/>
      <c r="R183" s="75"/>
      <c r="S183" s="75"/>
      <c r="T183" s="75"/>
      <c r="U183" s="75"/>
      <c r="V183" s="33"/>
      <c r="W183" s="33"/>
    </row>
    <row r="184" spans="1:23" ht="15" thickBot="1" x14ac:dyDescent="0.35">
      <c r="A184" s="102"/>
      <c r="B184" s="103"/>
      <c r="C184" s="104"/>
      <c r="D184" s="102" t="s">
        <v>9</v>
      </c>
      <c r="E184" s="105"/>
      <c r="F184" s="106">
        <f>SUM(F3:F183)</f>
        <v>18881.264999999999</v>
      </c>
      <c r="G184" s="106">
        <f>SUM(G3:G183)</f>
        <v>196985.23499999999</v>
      </c>
      <c r="H184" s="107"/>
      <c r="I184" s="108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1"/>
    </row>
  </sheetData>
  <autoFilter ref="A2:V184" xr:uid="{0AD61C89-AB64-4E95-AE7D-08263FF6259D}">
    <sortState xmlns:xlrd2="http://schemas.microsoft.com/office/spreadsheetml/2017/richdata2" ref="A3:V184">
      <sortCondition ref="I2:I184"/>
    </sortState>
  </autoFilter>
  <mergeCells count="1">
    <mergeCell ref="J1:V1"/>
  </mergeCells>
  <printOptions horizontalCentered="1" verticalCentered="1"/>
  <pageMargins left="0" right="0" top="0" bottom="0" header="0" footer="0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LIST TO UPLOAD IN ERP</vt:lpstr>
      <vt:lpstr>'FINAL LIST TO UPLOAD IN ERP'!Print_Area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 RAPS</dc:creator>
  <cp:lastModifiedBy>SAMMETA KARTHIKA SAI</cp:lastModifiedBy>
  <dcterms:created xsi:type="dcterms:W3CDTF">2026-06-19T05:22:50Z</dcterms:created>
  <dcterms:modified xsi:type="dcterms:W3CDTF">2026-06-19T06:22:52Z</dcterms:modified>
</cp:coreProperties>
</file>